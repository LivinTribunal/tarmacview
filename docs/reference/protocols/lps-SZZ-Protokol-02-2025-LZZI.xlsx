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UAS\FLTCK\"/>
    </mc:Choice>
  </mc:AlternateContent>
  <xr:revisionPtr revIDLastSave="0" documentId="13_ncr:1_{DB45876E-F8DE-4032-A250-7DC2911654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Print_Area" localSheetId="0">Sheet1!$A$1:$H$117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" i="1" l="1"/>
  <c r="F95" i="1"/>
  <c r="F94" i="1"/>
  <c r="F88" i="1"/>
  <c r="F75" i="1"/>
  <c r="F61" i="1"/>
  <c r="F60" i="1"/>
  <c r="F59" i="1"/>
  <c r="F53" i="1"/>
  <c r="F25" i="1" l="1"/>
  <c r="F24" i="1"/>
  <c r="F74" i="1"/>
  <c r="F73" i="1"/>
  <c r="F39" i="1"/>
  <c r="F38" i="1"/>
  <c r="F3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<sst xmlns="http://schemas.openxmlformats.org/spreadsheetml/2006/main" count="324" uniqueCount="130">
  <si>
    <t>Číslo protokolu:</t>
  </si>
  <si>
    <t>Dátum overenia:</t>
  </si>
  <si>
    <t>Pilot UAS:</t>
  </si>
  <si>
    <t>Špecialista:</t>
  </si>
  <si>
    <t>podľa L-14</t>
  </si>
  <si>
    <t xml:space="preserve">Chromatičnosť </t>
  </si>
  <si>
    <t>Krytie v horizontálnej rovine</t>
  </si>
  <si>
    <t>Krytie vo vertikálnej rovine</t>
  </si>
  <si>
    <t>Tlmenie</t>
  </si>
  <si>
    <t>Kontrola voľnosti prekážkových rovín</t>
  </si>
  <si>
    <t>L-14</t>
  </si>
  <si>
    <t>Svietivosť</t>
  </si>
  <si>
    <t>Zostupový uhol</t>
  </si>
  <si>
    <t>Šírka sektora pod zostupovou rovinou</t>
  </si>
  <si>
    <t>3/3</t>
  </si>
  <si>
    <t>Kontrola MEHT</t>
  </si>
  <si>
    <t>Typ UAS:</t>
  </si>
  <si>
    <t>Optický senzor UAS:</t>
  </si>
  <si>
    <t>HODNOTENIE</t>
  </si>
  <si>
    <t>TOLERANCIA</t>
  </si>
  <si>
    <t>NOMINÁLNA HODNOTA</t>
  </si>
  <si>
    <t>PARAMETER</t>
  </si>
  <si>
    <t>POZNÁMKA</t>
  </si>
  <si>
    <t>Podľa L-14</t>
  </si>
  <si>
    <t>ZARIADENIE</t>
  </si>
  <si>
    <t>VÝSLEDOK</t>
  </si>
  <si>
    <t>OBMEDZENIA</t>
  </si>
  <si>
    <t>ODPORÚČANIA</t>
  </si>
  <si>
    <t>VYPRACOVAL</t>
  </si>
  <si>
    <t>PODPIS</t>
  </si>
  <si>
    <t>ZEPHYR UAS s.r.o.</t>
  </si>
  <si>
    <t>Ulica 29. augusta 2263/11</t>
  </si>
  <si>
    <t>811 09 Bratislava</t>
  </si>
  <si>
    <t>IČO: 56091281</t>
  </si>
  <si>
    <t>IČ DPH: SK2122205635</t>
  </si>
  <si>
    <t>Prevádzkovateľ:</t>
  </si>
  <si>
    <t>Referenčný systém:</t>
  </si>
  <si>
    <t>Druh overenia:</t>
  </si>
  <si>
    <t>S/N UAS:</t>
  </si>
  <si>
    <t>Dohľadnosť a výška základne oblačnosti:</t>
  </si>
  <si>
    <t>Vietor:</t>
  </si>
  <si>
    <t>Čas overenia(UTC):</t>
  </si>
  <si>
    <t>Č. osvedčenia:</t>
  </si>
  <si>
    <r>
      <t>Teplota</t>
    </r>
    <r>
      <rPr>
        <b/>
        <sz val="11"/>
        <rFont val="Arial"/>
        <family val="2"/>
      </rPr>
      <t>(</t>
    </r>
    <r>
      <rPr>
        <b/>
        <sz val="11"/>
        <rFont val="Symbol"/>
        <family val="1"/>
        <charset val="2"/>
      </rPr>
      <t>°</t>
    </r>
    <r>
      <rPr>
        <b/>
        <sz val="11"/>
        <rFont val="Arial"/>
        <family val="2"/>
        <charset val="238"/>
      </rPr>
      <t>C)</t>
    </r>
    <r>
      <rPr>
        <b/>
        <sz val="11"/>
        <rFont val="Arial"/>
        <family val="2"/>
      </rPr>
      <t>:</t>
    </r>
  </si>
  <si>
    <t>Svietivosť návestidiel THR LGT</t>
  </si>
  <si>
    <t>Svietivosť návestidiel EDGE LGT</t>
  </si>
  <si>
    <t>Svietivosť návestidiel END LGT</t>
  </si>
  <si>
    <t>PROTOKOL Z OVERENIA LETISKOVÝCH SVETELNÝCH NÁVESTIDIEL</t>
  </si>
  <si>
    <t>Letisko:</t>
  </si>
  <si>
    <t>-</t>
  </si>
  <si>
    <t>1.93° do 6.5°</t>
  </si>
  <si>
    <t>3.00°</t>
  </si>
  <si>
    <t>3´/ 0.05°</t>
  </si>
  <si>
    <t>± 10°</t>
  </si>
  <si>
    <t>3.50°</t>
  </si>
  <si>
    <t>Prechodový uhol návestidla A</t>
  </si>
  <si>
    <t>Prechodový uhol návestidla B</t>
  </si>
  <si>
    <t>Prechodový uhol návestidla C</t>
  </si>
  <si>
    <t>Prechodový uhol návestidla D</t>
  </si>
  <si>
    <t>Šírka sektora v zostupovej rovine</t>
  </si>
  <si>
    <t>Šírka sektora nad zostupovou rovinou</t>
  </si>
  <si>
    <t>0.33°</t>
  </si>
  <si>
    <t>Náhradný zdroj</t>
  </si>
  <si>
    <t>bez zmeny</t>
  </si>
  <si>
    <t>Počet</t>
  </si>
  <si>
    <t>Vada</t>
  </si>
  <si>
    <t>Tvar obrazca/konfigurácia</t>
  </si>
  <si>
    <t>Zosúladenie so zostupovou rovinou ILS</t>
  </si>
  <si>
    <t>± 0,10°</t>
  </si>
  <si>
    <t>02/2025</t>
  </si>
  <si>
    <t>Pravidelné</t>
  </si>
  <si>
    <t>DJI MATRICE 4E</t>
  </si>
  <si>
    <t>Zoom</t>
  </si>
  <si>
    <t>Ing. Šulc</t>
  </si>
  <si>
    <t>LZZI</t>
  </si>
  <si>
    <t>Letisková spoločnosť Žilina, a.s.</t>
  </si>
  <si>
    <t>RTK SKPOS</t>
  </si>
  <si>
    <t>10km/BKN045</t>
  </si>
  <si>
    <t>CALM</t>
  </si>
  <si>
    <t>noc</t>
  </si>
  <si>
    <t>1581F7K3D249Q00A7F4L</t>
  </si>
  <si>
    <t>Vyhovuje</t>
  </si>
  <si>
    <t xml:space="preserve">Záblesková sústava </t>
  </si>
  <si>
    <t>120z/min</t>
  </si>
  <si>
    <r>
      <rPr>
        <sz val="11"/>
        <rFont val="Georgia"/>
        <family val="1"/>
        <charset val="238"/>
      </rPr>
      <t>±</t>
    </r>
    <r>
      <rPr>
        <sz val="11"/>
        <rFont val="Arial"/>
        <family val="2"/>
      </rPr>
      <t xml:space="preserve"> 30 zábleskov</t>
    </r>
  </si>
  <si>
    <t>1x žltý filter</t>
  </si>
  <si>
    <t>Svietivosť návestidiel LIM</t>
  </si>
  <si>
    <t>Svietivosť návestidiel LIH</t>
  </si>
  <si>
    <t>Záblesková sústava FLG</t>
  </si>
  <si>
    <t>0° do 16.5°</t>
  </si>
  <si>
    <t>± 15°</t>
  </si>
  <si>
    <t>5/5</t>
  </si>
  <si>
    <t>15 sekúnd</t>
  </si>
  <si>
    <t>0° do 12°</t>
  </si>
  <si>
    <t>3.33°</t>
  </si>
  <si>
    <t>3.66°</t>
  </si>
  <si>
    <t>4.00°</t>
  </si>
  <si>
    <t>± 0.10°</t>
  </si>
  <si>
    <t>± 0.15°</t>
  </si>
  <si>
    <t>+ 0.17°</t>
  </si>
  <si>
    <t>13.1 m</t>
  </si>
  <si>
    <r>
      <rPr>
        <b/>
        <sz val="14"/>
        <color rgb="FFFFC000"/>
        <rFont val="Arial"/>
        <family val="2"/>
        <charset val="238"/>
      </rPr>
      <t xml:space="preserve">ZARIADENIE - ALS 06 </t>
    </r>
    <r>
      <rPr>
        <b/>
        <sz val="14"/>
        <color theme="0"/>
        <rFont val="Arial"/>
        <family val="2"/>
      </rPr>
      <t xml:space="preserve"> </t>
    </r>
  </si>
  <si>
    <r>
      <rPr>
        <b/>
        <sz val="14"/>
        <color rgb="FFFFC000"/>
        <rFont val="Arial"/>
        <family val="2"/>
        <charset val="238"/>
      </rPr>
      <t>ZARIADENIE - RLS 06</t>
    </r>
    <r>
      <rPr>
        <b/>
        <sz val="14"/>
        <color theme="0"/>
        <rFont val="Arial"/>
        <family val="2"/>
      </rPr>
      <t xml:space="preserve">  </t>
    </r>
  </si>
  <si>
    <r>
      <rPr>
        <b/>
        <sz val="14"/>
        <color rgb="FFFFC000"/>
        <rFont val="Arial"/>
        <family val="2"/>
        <charset val="238"/>
      </rPr>
      <t>ZARIADENIE - PAPI 06</t>
    </r>
  </si>
  <si>
    <r>
      <rPr>
        <b/>
        <sz val="14"/>
        <color rgb="FFFFC000"/>
        <rFont val="Arial"/>
        <family val="2"/>
        <charset val="238"/>
      </rPr>
      <t xml:space="preserve">ZARIADENIE - RLS 24 </t>
    </r>
    <r>
      <rPr>
        <b/>
        <sz val="14"/>
        <color theme="0"/>
        <rFont val="Arial"/>
        <family val="2"/>
      </rPr>
      <t xml:space="preserve"> </t>
    </r>
  </si>
  <si>
    <t>± 15°, vyhovuje</t>
  </si>
  <si>
    <r>
      <rPr>
        <b/>
        <sz val="14"/>
        <color rgb="FFFFC000"/>
        <rFont val="Arial"/>
        <family val="2"/>
        <charset val="238"/>
      </rPr>
      <t>ZARIADENIE - PAPI 24</t>
    </r>
  </si>
  <si>
    <t>1.93° do 7.5°</t>
  </si>
  <si>
    <t>4.33°</t>
  </si>
  <si>
    <t>4.66°</t>
  </si>
  <si>
    <t>5.00°</t>
  </si>
  <si>
    <t>ALS 06</t>
  </si>
  <si>
    <t>RLS 06</t>
  </si>
  <si>
    <t>PAPI 06</t>
  </si>
  <si>
    <t>RLS 24</t>
  </si>
  <si>
    <t>PAPI 24</t>
  </si>
  <si>
    <t>Vyhovuje (Usable)</t>
  </si>
  <si>
    <t>Bez obmedzení (No restrictions)</t>
  </si>
  <si>
    <t>žiadne</t>
  </si>
  <si>
    <t>viac ako 3´/ 0.05°</t>
  </si>
  <si>
    <t>viď navrhované</t>
  </si>
  <si>
    <t>Uhol prechodu farieb od červenej do bielej</t>
  </si>
  <si>
    <t>PAPI 24: Odporúčame vykonať technické opatrenia na optickej sústave návestidiel PAPI, aby prechod farieb od červenej do bielej nebol viac ako 0.05°.</t>
  </si>
  <si>
    <t>STRANA 2/2</t>
  </si>
  <si>
    <r>
      <rPr>
        <b/>
        <sz val="14"/>
        <color rgb="FFFFC000"/>
        <rFont val="Arial"/>
        <family val="2"/>
        <charset val="238"/>
      </rPr>
      <t>ZÁKLADNÉ INFORMÁCIE</t>
    </r>
  </si>
  <si>
    <r>
      <rPr>
        <b/>
        <sz val="14"/>
        <color rgb="FFFFC000"/>
        <rFont val="Arial"/>
        <family val="2"/>
        <charset val="238"/>
      </rPr>
      <t>POČASIE</t>
    </r>
  </si>
  <si>
    <r>
      <rPr>
        <b/>
        <sz val="14"/>
        <color rgb="FFFFC000"/>
        <rFont val="Arial"/>
        <family val="2"/>
        <charset val="238"/>
      </rPr>
      <t>VYHODNOTENIE</t>
    </r>
  </si>
  <si>
    <r>
      <rPr>
        <b/>
        <sz val="14"/>
        <color rgb="FFFFC000"/>
        <rFont val="Arial"/>
        <family val="2"/>
        <charset val="238"/>
      </rPr>
      <t>ODPORÚČANIA</t>
    </r>
  </si>
  <si>
    <t>Svetelné podmienky:</t>
  </si>
  <si>
    <t>STRANA 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</si>
</sst>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mmm\ yyyy"/>
    <numFmt numFmtId="165" formatCode="0.0\°"/>
    <numFmt numFmtId="166" formatCode="0.0\%"/>
    <numFmt numFmtId="167" formatCode="0.00\°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11"/>
      <name val="Arial"/>
      <family val="2"/>
    </font>
    <font>
      <b/>
      <i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1"/>
      <name val="Symbol"/>
      <family val="1"/>
      <charset val="2"/>
    </font>
    <font>
      <sz val="11"/>
      <name val="Arial"/>
      <family val="2"/>
      <charset val="238"/>
    </font>
    <font>
      <b/>
      <sz val="11"/>
      <name val="Arial"/>
      <family val="2"/>
      <charset val="238"/>
    </font>
    <font>
      <sz val="8"/>
      <name val="Calibri"/>
      <family val="2"/>
      <scheme val="minor"/>
    </font>
    <font>
      <b/>
      <i/>
      <sz val="11"/>
      <name val="Arial"/>
      <family val="2"/>
    </font>
    <font>
      <sz val="11"/>
      <name val="Georgia"/>
      <family val="1"/>
      <charset val="238"/>
    </font>
    <font>
      <sz val="11"/>
      <name val="Arial"/>
      <family val="1"/>
      <charset val="238"/>
    </font>
    <font>
      <u/>
      <sz val="11"/>
      <name val="Arial"/>
      <family val="2"/>
      <charset val="238"/>
    </font>
    <font>
      <b/>
      <sz val="14"/>
      <color rgb="FFFFC000"/>
      <name val="Arial"/>
      <family val="2"/>
      <charset val="238"/>
    </font>
    <font>
      <sz val="12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2E5D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7">
    <xf numFmtId="0" fontId="0" fillId="0" borderId="0" xfId="0"/>
    <xf numFmtId="0" fontId="3" fillId="0" borderId="0" xfId="0" quotePrefix="1" applyFont="1"/>
    <xf numFmtId="0" fontId="3" fillId="0" borderId="0" xfId="0" applyFont="1"/>
    <xf numFmtId="0" fontId="4" fillId="0" borderId="0" xfId="0" applyFont="1"/>
    <xf numFmtId="0" fontId="8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4" fillId="0" borderId="0" xfId="0" applyFont="1" applyAlignment="1">
      <alignment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9" fillId="0" borderId="13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49" xfId="0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horizontal="center" vertical="center" wrapText="1"/>
    </xf>
    <xf numFmtId="165" fontId="7" fillId="0" borderId="43" xfId="0" applyNumberFormat="1" applyFont="1" applyBorder="1" applyAlignment="1">
      <alignment horizontal="center" vertical="center" wrapText="1"/>
    </xf>
    <xf numFmtId="165" fontId="7" fillId="0" borderId="44" xfId="0" applyNumberFormat="1" applyFont="1" applyBorder="1" applyAlignment="1">
      <alignment horizontal="center" vertical="center" wrapText="1"/>
    </xf>
    <xf numFmtId="9" fontId="7" fillId="0" borderId="44" xfId="0" applyNumberFormat="1" applyFont="1" applyBorder="1" applyAlignment="1">
      <alignment horizontal="center" vertical="center" wrapText="1"/>
    </xf>
    <xf numFmtId="166" fontId="7" fillId="0" borderId="44" xfId="0" applyNumberFormat="1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49" fontId="7" fillId="0" borderId="44" xfId="0" applyNumberFormat="1" applyFont="1" applyBorder="1" applyAlignment="1">
      <alignment horizontal="center" vertical="center" wrapText="1"/>
    </xf>
    <xf numFmtId="165" fontId="7" fillId="0" borderId="46" xfId="0" applyNumberFormat="1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3" xfId="0" applyFont="1" applyBorder="1" applyAlignment="1">
      <alignment vertical="center"/>
    </xf>
    <xf numFmtId="0" fontId="7" fillId="0" borderId="44" xfId="0" applyFont="1" applyBorder="1" applyAlignment="1">
      <alignment vertical="center"/>
    </xf>
    <xf numFmtId="0" fontId="16" fillId="4" borderId="25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65" xfId="0" applyFont="1" applyBorder="1" applyAlignment="1">
      <alignment horizontal="center" wrapText="1"/>
    </xf>
    <xf numFmtId="0" fontId="7" fillId="0" borderId="26" xfId="0" applyFont="1" applyBorder="1" applyAlignment="1">
      <alignment horizontal="center" wrapText="1"/>
    </xf>
    <xf numFmtId="49" fontId="7" fillId="6" borderId="6" xfId="0" applyNumberFormat="1" applyFont="1" applyFill="1" applyBorder="1" applyAlignment="1">
      <alignment vertical="center"/>
    </xf>
    <xf numFmtId="0" fontId="17" fillId="0" borderId="37" xfId="0" applyFont="1" applyBorder="1" applyAlignment="1">
      <alignment horizontal="center"/>
    </xf>
    <xf numFmtId="0" fontId="7" fillId="0" borderId="45" xfId="0" applyFont="1" applyBorder="1" applyAlignment="1">
      <alignment vertical="center"/>
    </xf>
    <xf numFmtId="165" fontId="7" fillId="0" borderId="45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1" fontId="1" fillId="0" borderId="0" xfId="1" applyNumberFormat="1" applyFont="1" applyAlignment="1">
      <alignment horizontal="center"/>
    </xf>
    <xf numFmtId="1" fontId="1" fillId="0" borderId="69" xfId="1" applyNumberFormat="1" applyFont="1" applyBorder="1" applyAlignment="1">
      <alignment horizontal="center"/>
    </xf>
    <xf numFmtId="0" fontId="7" fillId="0" borderId="50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165" fontId="7" fillId="0" borderId="46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vertical="center"/>
    </xf>
    <xf numFmtId="0" fontId="16" fillId="0" borderId="38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165" fontId="7" fillId="0" borderId="13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1" fillId="3" borderId="70" xfId="0" applyFont="1" applyFill="1" applyBorder="1" applyAlignment="1">
      <alignment horizontal="center" wrapText="1"/>
    </xf>
    <xf numFmtId="0" fontId="11" fillId="3" borderId="77" xfId="0" applyFont="1" applyFill="1" applyBorder="1" applyAlignment="1">
      <alignment horizontal="center" wrapText="1"/>
    </xf>
    <xf numFmtId="0" fontId="11" fillId="3" borderId="68" xfId="0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 vertical="center"/>
    </xf>
    <xf numFmtId="0" fontId="7" fillId="5" borderId="41" xfId="0" applyFont="1" applyFill="1" applyBorder="1" applyAlignment="1">
      <alignment horizontal="left" vertical="center" wrapText="1"/>
    </xf>
    <xf numFmtId="0" fontId="7" fillId="5" borderId="16" xfId="0" applyFont="1" applyFill="1" applyBorder="1" applyAlignment="1">
      <alignment horizontal="left" vertical="center" wrapText="1"/>
    </xf>
    <xf numFmtId="165" fontId="7" fillId="0" borderId="8" xfId="0" applyNumberFormat="1" applyFont="1" applyBorder="1" applyAlignment="1">
      <alignment horizontal="center" vertical="center" wrapText="1"/>
    </xf>
    <xf numFmtId="165" fontId="7" fillId="0" borderId="16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5" borderId="42" xfId="0" applyFont="1" applyFill="1" applyBorder="1" applyAlignment="1">
      <alignment horizontal="left" vertical="center" wrapText="1"/>
    </xf>
    <xf numFmtId="0" fontId="7" fillId="5" borderId="30" xfId="0" applyFont="1" applyFill="1" applyBorder="1" applyAlignment="1">
      <alignment horizontal="left" vertical="center" wrapText="1"/>
    </xf>
    <xf numFmtId="165" fontId="7" fillId="0" borderId="20" xfId="0" applyNumberFormat="1" applyFont="1" applyBorder="1" applyAlignment="1">
      <alignment horizontal="center" vertical="center" wrapText="1"/>
    </xf>
    <xf numFmtId="165" fontId="7" fillId="0" borderId="30" xfId="0" applyNumberFormat="1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11" fillId="5" borderId="56" xfId="0" applyFont="1" applyFill="1" applyBorder="1" applyAlignment="1">
      <alignment horizontal="center" vertical="center" wrapText="1"/>
    </xf>
    <xf numFmtId="0" fontId="11" fillId="5" borderId="75" xfId="0" applyFont="1" applyFill="1" applyBorder="1" applyAlignment="1">
      <alignment horizontal="center" vertical="center" wrapText="1"/>
    </xf>
    <xf numFmtId="0" fontId="7" fillId="0" borderId="56" xfId="0" applyFont="1" applyBorder="1" applyAlignment="1">
      <alignment horizontal="center"/>
    </xf>
    <xf numFmtId="0" fontId="7" fillId="0" borderId="76" xfId="0" applyFont="1" applyBorder="1" applyAlignment="1">
      <alignment horizontal="center"/>
    </xf>
    <xf numFmtId="0" fontId="7" fillId="0" borderId="75" xfId="0" applyFont="1" applyBorder="1" applyAlignment="1">
      <alignment horizontal="center"/>
    </xf>
    <xf numFmtId="0" fontId="7" fillId="5" borderId="8" xfId="0" applyFont="1" applyFill="1" applyBorder="1" applyAlignment="1">
      <alignment horizontal="left" vertical="center" wrapText="1"/>
    </xf>
    <xf numFmtId="49" fontId="21" fillId="0" borderId="8" xfId="0" applyNumberFormat="1" applyFont="1" applyBorder="1" applyAlignment="1">
      <alignment horizontal="center" vertical="center" wrapText="1"/>
    </xf>
    <xf numFmtId="49" fontId="22" fillId="0" borderId="16" xfId="0" applyNumberFormat="1" applyFont="1" applyBorder="1" applyAlignment="1">
      <alignment horizontal="center" vertical="center" wrapText="1"/>
    </xf>
    <xf numFmtId="9" fontId="7" fillId="0" borderId="8" xfId="0" applyNumberFormat="1" applyFont="1" applyBorder="1" applyAlignment="1">
      <alignment horizontal="center" vertical="center" wrapText="1"/>
    </xf>
    <xf numFmtId="9" fontId="7" fillId="0" borderId="16" xfId="0" applyNumberFormat="1" applyFont="1" applyBorder="1" applyAlignment="1">
      <alignment horizontal="center" vertical="center" wrapText="1"/>
    </xf>
    <xf numFmtId="1" fontId="1" fillId="0" borderId="63" xfId="1" applyNumberFormat="1" applyFont="1" applyBorder="1" applyAlignment="1">
      <alignment horizontal="center"/>
    </xf>
    <xf numFmtId="1" fontId="1" fillId="0" borderId="64" xfId="1" applyNumberFormat="1" applyFont="1" applyBorder="1" applyAlignment="1">
      <alignment horizontal="center"/>
    </xf>
    <xf numFmtId="0" fontId="13" fillId="3" borderId="4" xfId="0" quotePrefix="1" applyFont="1" applyFill="1" applyBorder="1" applyAlignment="1">
      <alignment horizontal="center" vertical="center" wrapText="1"/>
    </xf>
    <xf numFmtId="0" fontId="13" fillId="3" borderId="5" xfId="0" quotePrefix="1" applyFont="1" applyFill="1" applyBorder="1" applyAlignment="1">
      <alignment horizontal="center" vertical="center" wrapText="1"/>
    </xf>
    <xf numFmtId="0" fontId="13" fillId="3" borderId="6" xfId="0" quotePrefix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7" fillId="5" borderId="39" xfId="0" applyFont="1" applyFill="1" applyBorder="1" applyAlignment="1">
      <alignment horizontal="left" vertical="center" wrapText="1"/>
    </xf>
    <xf numFmtId="0" fontId="7" fillId="5" borderId="40" xfId="0" applyFont="1" applyFill="1" applyBorder="1" applyAlignment="1">
      <alignment horizontal="left" vertical="center" wrapText="1"/>
    </xf>
    <xf numFmtId="165" fontId="7" fillId="0" borderId="7" xfId="0" applyNumberFormat="1" applyFont="1" applyBorder="1" applyAlignment="1">
      <alignment horizontal="center" vertical="center" wrapText="1"/>
    </xf>
    <xf numFmtId="165" fontId="7" fillId="0" borderId="15" xfId="0" applyNumberFormat="1" applyFont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7" fillId="0" borderId="71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165" fontId="7" fillId="0" borderId="8" xfId="0" applyNumberFormat="1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165" fontId="7" fillId="0" borderId="20" xfId="0" applyNumberFormat="1" applyFont="1" applyBorder="1" applyAlignment="1">
      <alignment horizontal="center" vertical="center"/>
    </xf>
    <xf numFmtId="165" fontId="7" fillId="0" borderId="30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0" fontId="7" fillId="5" borderId="47" xfId="0" applyFont="1" applyFill="1" applyBorder="1" applyAlignment="1">
      <alignment horizontal="left" vertical="center" wrapText="1"/>
    </xf>
    <xf numFmtId="49" fontId="7" fillId="0" borderId="51" xfId="0" applyNumberFormat="1" applyFont="1" applyBorder="1" applyAlignment="1">
      <alignment horizontal="center" vertical="center"/>
    </xf>
    <xf numFmtId="49" fontId="7" fillId="0" borderId="52" xfId="0" applyNumberFormat="1" applyFont="1" applyBorder="1" applyAlignment="1">
      <alignment horizontal="center" vertical="center"/>
    </xf>
    <xf numFmtId="167" fontId="7" fillId="0" borderId="8" xfId="0" applyNumberFormat="1" applyFont="1" applyBorder="1" applyAlignment="1">
      <alignment horizontal="center" vertical="center" wrapText="1"/>
    </xf>
    <xf numFmtId="167" fontId="7" fillId="0" borderId="16" xfId="0" applyNumberFormat="1" applyFont="1" applyBorder="1" applyAlignment="1">
      <alignment horizontal="center" vertical="center" wrapText="1"/>
    </xf>
    <xf numFmtId="165" fontId="7" fillId="0" borderId="51" xfId="0" applyNumberFormat="1" applyFont="1" applyBorder="1" applyAlignment="1">
      <alignment horizontal="center" vertical="center"/>
    </xf>
    <xf numFmtId="165" fontId="7" fillId="0" borderId="52" xfId="0" applyNumberFormat="1" applyFont="1" applyBorder="1" applyAlignment="1">
      <alignment horizontal="center" vertical="center"/>
    </xf>
    <xf numFmtId="167" fontId="7" fillId="0" borderId="41" xfId="0" applyNumberFormat="1" applyFont="1" applyBorder="1" applyAlignment="1">
      <alignment horizontal="center" vertical="center" wrapText="1"/>
    </xf>
    <xf numFmtId="167" fontId="7" fillId="0" borderId="47" xfId="0" applyNumberFormat="1" applyFont="1" applyBorder="1" applyAlignment="1">
      <alignment horizontal="center" vertical="center" wrapText="1"/>
    </xf>
    <xf numFmtId="0" fontId="13" fillId="3" borderId="4" xfId="0" quotePrefix="1" applyFont="1" applyFill="1" applyBorder="1" applyAlignment="1">
      <alignment horizontal="center" vertical="center"/>
    </xf>
    <xf numFmtId="0" fontId="13" fillId="3" borderId="5" xfId="0" quotePrefix="1" applyFont="1" applyFill="1" applyBorder="1" applyAlignment="1">
      <alignment horizontal="center" vertical="center"/>
    </xf>
    <xf numFmtId="0" fontId="13" fillId="3" borderId="6" xfId="0" quotePrefix="1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165" fontId="7" fillId="0" borderId="15" xfId="0" applyNumberFormat="1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" fontId="1" fillId="0" borderId="73" xfId="1" applyNumberFormat="1" applyFont="1" applyBorder="1" applyAlignment="1">
      <alignment horizontal="center"/>
    </xf>
    <xf numFmtId="1" fontId="1" fillId="0" borderId="74" xfId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6" fillId="0" borderId="53" xfId="0" applyNumberFormat="1" applyFont="1" applyBorder="1" applyAlignment="1">
      <alignment horizontal="left" vertical="top" wrapText="1"/>
    </xf>
    <xf numFmtId="49" fontId="16" fillId="0" borderId="54" xfId="0" applyNumberFormat="1" applyFont="1" applyBorder="1" applyAlignment="1">
      <alignment horizontal="left" vertical="top" wrapText="1"/>
    </xf>
    <xf numFmtId="49" fontId="16" fillId="0" borderId="55" xfId="0" applyNumberFormat="1" applyFont="1" applyBorder="1" applyAlignment="1">
      <alignment horizontal="left" vertical="top" wrapText="1"/>
    </xf>
    <xf numFmtId="0" fontId="17" fillId="2" borderId="23" xfId="0" applyFont="1" applyFill="1" applyBorder="1" applyAlignment="1">
      <alignment horizontal="center"/>
    </xf>
    <xf numFmtId="0" fontId="17" fillId="2" borderId="25" xfId="0" applyFont="1" applyFill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5" fillId="2" borderId="8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20" fontId="12" fillId="0" borderId="37" xfId="0" applyNumberFormat="1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5" fillId="2" borderId="18" xfId="0" applyFont="1" applyFill="1" applyBorder="1" applyAlignment="1">
      <alignment horizontal="left" vertical="center"/>
    </xf>
    <xf numFmtId="0" fontId="5" fillId="2" borderId="19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17" fillId="2" borderId="20" xfId="0" applyFont="1" applyFill="1" applyBorder="1" applyAlignment="1">
      <alignment horizontal="center"/>
    </xf>
    <xf numFmtId="0" fontId="17" fillId="2" borderId="30" xfId="0" applyFont="1" applyFill="1" applyBorder="1" applyAlignment="1">
      <alignment horizontal="center"/>
    </xf>
    <xf numFmtId="0" fontId="17" fillId="2" borderId="21" xfId="0" applyFont="1" applyFill="1" applyBorder="1" applyAlignment="1">
      <alignment horizontal="center"/>
    </xf>
    <xf numFmtId="0" fontId="17" fillId="2" borderId="22" xfId="0" applyFont="1" applyFill="1" applyBorder="1" applyAlignment="1">
      <alignment horizontal="center"/>
    </xf>
    <xf numFmtId="164" fontId="16" fillId="0" borderId="31" xfId="0" applyNumberFormat="1" applyFont="1" applyBorder="1" applyAlignment="1">
      <alignment horizontal="center" vertical="center"/>
    </xf>
    <xf numFmtId="164" fontId="16" fillId="0" borderId="32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5" fillId="0" borderId="0" xfId="0" quotePrefix="1" applyFont="1" applyAlignment="1">
      <alignment horizontal="center"/>
    </xf>
    <xf numFmtId="0" fontId="5" fillId="2" borderId="28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14" fontId="12" fillId="0" borderId="37" xfId="0" applyNumberFormat="1" applyFont="1" applyBorder="1" applyAlignment="1">
      <alignment horizontal="center" vertical="center"/>
    </xf>
    <xf numFmtId="0" fontId="5" fillId="2" borderId="33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14" xfId="0" quotePrefix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17" fillId="2" borderId="7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11" fillId="5" borderId="59" xfId="0" applyFont="1" applyFill="1" applyBorder="1" applyAlignment="1">
      <alignment horizontal="center" vertical="center" wrapText="1"/>
    </xf>
    <xf numFmtId="0" fontId="11" fillId="5" borderId="60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11" fillId="2" borderId="5" xfId="0" applyFont="1" applyFill="1" applyBorder="1" applyAlignment="1">
      <alignment horizontal="center" vertical="center"/>
    </xf>
    <xf numFmtId="0" fontId="16" fillId="4" borderId="23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1" fillId="5" borderId="61" xfId="0" applyFont="1" applyFill="1" applyBorder="1" applyAlignment="1">
      <alignment horizontal="center" vertical="center" wrapText="1"/>
    </xf>
    <xf numFmtId="0" fontId="11" fillId="5" borderId="62" xfId="0" applyFont="1" applyFill="1" applyBorder="1" applyAlignment="1">
      <alignment horizontal="center" vertical="center" wrapText="1"/>
    </xf>
    <xf numFmtId="0" fontId="7" fillId="0" borderId="57" xfId="0" applyFont="1" applyBorder="1" applyAlignment="1">
      <alignment horizontal="center"/>
    </xf>
    <xf numFmtId="0" fontId="7" fillId="0" borderId="58" xfId="0" applyFont="1" applyBorder="1" applyAlignment="1">
      <alignment horizontal="center"/>
    </xf>
    <xf numFmtId="0" fontId="7" fillId="5" borderId="68" xfId="0" applyFont="1" applyFill="1" applyBorder="1" applyAlignment="1">
      <alignment horizontal="left" vertical="center" wrapText="1"/>
    </xf>
    <xf numFmtId="165" fontId="7" fillId="0" borderId="68" xfId="0" applyNumberFormat="1" applyFont="1" applyBorder="1" applyAlignment="1">
      <alignment horizontal="center" vertical="center"/>
    </xf>
    <xf numFmtId="0" fontId="7" fillId="5" borderId="66" xfId="0" applyFont="1" applyFill="1" applyBorder="1" applyAlignment="1">
      <alignment horizontal="left" vertical="center" wrapText="1"/>
    </xf>
    <xf numFmtId="0" fontId="7" fillId="5" borderId="52" xfId="0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center" vertical="center"/>
    </xf>
  </cellXfs>
  <cellStyles count="2">
    <cellStyle name="Normálna" xfId="0" builtinId="0"/>
    <cellStyle name="Normálna 3" xfId="1" xr:uid="{7477CE7F-B2D3-4649-A749-B56E5C4C01AA}"/>
  </cellStyles>
  <dxfs count="0"/>
  <tableStyles count="0" defaultTableStyle="TableStyleMedium2" defaultPivotStyle="PivotStyleLight16"/>
  <colors>
    <mruColors>
      <color rgb="FF2E5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24"/>
  <sheetViews>
    <sheetView tabSelected="1" view="pageBreakPreview" topLeftCell="A72" zoomScale="60" zoomScaleNormal="70" workbookViewId="0">
      <selection activeCell="M88" sqref="M88"/>
    </sheetView>
  </sheetViews>
  <sheetFormatPr defaultColWidth="9.26953125" defaultRowHeight="10" x14ac:dyDescent="0.2"/>
  <cols>
    <col min="1" max="1" width="11.453125" style="3" customWidth="1"/>
    <col min="2" max="2" width="31.90625" style="3" customWidth="1"/>
    <col min="3" max="3" width="23" style="3" customWidth="1"/>
    <col min="4" max="4" width="10.1796875" style="3" customWidth="1"/>
    <col min="5" max="5" width="12.26953125" style="3" customWidth="1"/>
    <col min="6" max="6" width="27.1796875" style="3" customWidth="1"/>
    <col min="7" max="7" width="4" style="3" hidden="1" customWidth="1"/>
    <col min="8" max="8" width="32.1796875" style="3" customWidth="1"/>
    <col min="9" max="9" width="10.26953125" style="3" customWidth="1"/>
    <col min="10" max="256" width="9.26953125" style="3"/>
    <col min="257" max="257" width="9" style="3" customWidth="1"/>
    <col min="258" max="258" width="15.81640625" style="3" customWidth="1"/>
    <col min="259" max="259" width="19.7265625" style="3" customWidth="1"/>
    <col min="260" max="260" width="10.1796875" style="3" customWidth="1"/>
    <col min="261" max="261" width="10.7265625" style="3" customWidth="1"/>
    <col min="262" max="262" width="9.7265625" style="3" customWidth="1"/>
    <col min="263" max="263" width="8.7265625" style="3" customWidth="1"/>
    <col min="264" max="264" width="12" style="3" customWidth="1"/>
    <col min="265" max="265" width="0" style="3" hidden="1" customWidth="1"/>
    <col min="266" max="512" width="9.26953125" style="3"/>
    <col min="513" max="513" width="9" style="3" customWidth="1"/>
    <col min="514" max="514" width="15.81640625" style="3" customWidth="1"/>
    <col min="515" max="515" width="19.7265625" style="3" customWidth="1"/>
    <col min="516" max="516" width="10.1796875" style="3" customWidth="1"/>
    <col min="517" max="517" width="10.7265625" style="3" customWidth="1"/>
    <col min="518" max="518" width="9.7265625" style="3" customWidth="1"/>
    <col min="519" max="519" width="8.7265625" style="3" customWidth="1"/>
    <col min="520" max="520" width="12" style="3" customWidth="1"/>
    <col min="521" max="521" width="0" style="3" hidden="1" customWidth="1"/>
    <col min="522" max="768" width="9.26953125" style="3"/>
    <col min="769" max="769" width="9" style="3" customWidth="1"/>
    <col min="770" max="770" width="15.81640625" style="3" customWidth="1"/>
    <col min="771" max="771" width="19.7265625" style="3" customWidth="1"/>
    <col min="772" max="772" width="10.1796875" style="3" customWidth="1"/>
    <col min="773" max="773" width="10.7265625" style="3" customWidth="1"/>
    <col min="774" max="774" width="9.7265625" style="3" customWidth="1"/>
    <col min="775" max="775" width="8.7265625" style="3" customWidth="1"/>
    <col min="776" max="776" width="12" style="3" customWidth="1"/>
    <col min="777" max="777" width="0" style="3" hidden="1" customWidth="1"/>
    <col min="778" max="1024" width="9.26953125" style="3"/>
    <col min="1025" max="1025" width="9" style="3" customWidth="1"/>
    <col min="1026" max="1026" width="15.81640625" style="3" customWidth="1"/>
    <col min="1027" max="1027" width="19.7265625" style="3" customWidth="1"/>
    <col min="1028" max="1028" width="10.1796875" style="3" customWidth="1"/>
    <col min="1029" max="1029" width="10.7265625" style="3" customWidth="1"/>
    <col min="1030" max="1030" width="9.7265625" style="3" customWidth="1"/>
    <col min="1031" max="1031" width="8.7265625" style="3" customWidth="1"/>
    <col min="1032" max="1032" width="12" style="3" customWidth="1"/>
    <col min="1033" max="1033" width="0" style="3" hidden="1" customWidth="1"/>
    <col min="1034" max="1280" width="9.26953125" style="3"/>
    <col min="1281" max="1281" width="9" style="3" customWidth="1"/>
    <col min="1282" max="1282" width="15.81640625" style="3" customWidth="1"/>
    <col min="1283" max="1283" width="19.7265625" style="3" customWidth="1"/>
    <col min="1284" max="1284" width="10.1796875" style="3" customWidth="1"/>
    <col min="1285" max="1285" width="10.7265625" style="3" customWidth="1"/>
    <col min="1286" max="1286" width="9.7265625" style="3" customWidth="1"/>
    <col min="1287" max="1287" width="8.7265625" style="3" customWidth="1"/>
    <col min="1288" max="1288" width="12" style="3" customWidth="1"/>
    <col min="1289" max="1289" width="0" style="3" hidden="1" customWidth="1"/>
    <col min="1290" max="1536" width="9.26953125" style="3"/>
    <col min="1537" max="1537" width="9" style="3" customWidth="1"/>
    <col min="1538" max="1538" width="15.81640625" style="3" customWidth="1"/>
    <col min="1539" max="1539" width="19.7265625" style="3" customWidth="1"/>
    <col min="1540" max="1540" width="10.1796875" style="3" customWidth="1"/>
    <col min="1541" max="1541" width="10.7265625" style="3" customWidth="1"/>
    <col min="1542" max="1542" width="9.7265625" style="3" customWidth="1"/>
    <col min="1543" max="1543" width="8.7265625" style="3" customWidth="1"/>
    <col min="1544" max="1544" width="12" style="3" customWidth="1"/>
    <col min="1545" max="1545" width="0" style="3" hidden="1" customWidth="1"/>
    <col min="1546" max="1792" width="9.26953125" style="3"/>
    <col min="1793" max="1793" width="9" style="3" customWidth="1"/>
    <col min="1794" max="1794" width="15.81640625" style="3" customWidth="1"/>
    <col min="1795" max="1795" width="19.7265625" style="3" customWidth="1"/>
    <col min="1796" max="1796" width="10.1796875" style="3" customWidth="1"/>
    <col min="1797" max="1797" width="10.7265625" style="3" customWidth="1"/>
    <col min="1798" max="1798" width="9.7265625" style="3" customWidth="1"/>
    <col min="1799" max="1799" width="8.7265625" style="3" customWidth="1"/>
    <col min="1800" max="1800" width="12" style="3" customWidth="1"/>
    <col min="1801" max="1801" width="0" style="3" hidden="1" customWidth="1"/>
    <col min="1802" max="2048" width="9.26953125" style="3"/>
    <col min="2049" max="2049" width="9" style="3" customWidth="1"/>
    <col min="2050" max="2050" width="15.81640625" style="3" customWidth="1"/>
    <col min="2051" max="2051" width="19.7265625" style="3" customWidth="1"/>
    <col min="2052" max="2052" width="10.1796875" style="3" customWidth="1"/>
    <col min="2053" max="2053" width="10.7265625" style="3" customWidth="1"/>
    <col min="2054" max="2054" width="9.7265625" style="3" customWidth="1"/>
    <col min="2055" max="2055" width="8.7265625" style="3" customWidth="1"/>
    <col min="2056" max="2056" width="12" style="3" customWidth="1"/>
    <col min="2057" max="2057" width="0" style="3" hidden="1" customWidth="1"/>
    <col min="2058" max="2304" width="9.26953125" style="3"/>
    <col min="2305" max="2305" width="9" style="3" customWidth="1"/>
    <col min="2306" max="2306" width="15.81640625" style="3" customWidth="1"/>
    <col min="2307" max="2307" width="19.7265625" style="3" customWidth="1"/>
    <col min="2308" max="2308" width="10.1796875" style="3" customWidth="1"/>
    <col min="2309" max="2309" width="10.7265625" style="3" customWidth="1"/>
    <col min="2310" max="2310" width="9.7265625" style="3" customWidth="1"/>
    <col min="2311" max="2311" width="8.7265625" style="3" customWidth="1"/>
    <col min="2312" max="2312" width="12" style="3" customWidth="1"/>
    <col min="2313" max="2313" width="0" style="3" hidden="1" customWidth="1"/>
    <col min="2314" max="2560" width="9.26953125" style="3"/>
    <col min="2561" max="2561" width="9" style="3" customWidth="1"/>
    <col min="2562" max="2562" width="15.81640625" style="3" customWidth="1"/>
    <col min="2563" max="2563" width="19.7265625" style="3" customWidth="1"/>
    <col min="2564" max="2564" width="10.1796875" style="3" customWidth="1"/>
    <col min="2565" max="2565" width="10.7265625" style="3" customWidth="1"/>
    <col min="2566" max="2566" width="9.7265625" style="3" customWidth="1"/>
    <col min="2567" max="2567" width="8.7265625" style="3" customWidth="1"/>
    <col min="2568" max="2568" width="12" style="3" customWidth="1"/>
    <col min="2569" max="2569" width="0" style="3" hidden="1" customWidth="1"/>
    <col min="2570" max="2816" width="9.26953125" style="3"/>
    <col min="2817" max="2817" width="9" style="3" customWidth="1"/>
    <col min="2818" max="2818" width="15.81640625" style="3" customWidth="1"/>
    <col min="2819" max="2819" width="19.7265625" style="3" customWidth="1"/>
    <col min="2820" max="2820" width="10.1796875" style="3" customWidth="1"/>
    <col min="2821" max="2821" width="10.7265625" style="3" customWidth="1"/>
    <col min="2822" max="2822" width="9.7265625" style="3" customWidth="1"/>
    <col min="2823" max="2823" width="8.7265625" style="3" customWidth="1"/>
    <col min="2824" max="2824" width="12" style="3" customWidth="1"/>
    <col min="2825" max="2825" width="0" style="3" hidden="1" customWidth="1"/>
    <col min="2826" max="3072" width="9.26953125" style="3"/>
    <col min="3073" max="3073" width="9" style="3" customWidth="1"/>
    <col min="3074" max="3074" width="15.81640625" style="3" customWidth="1"/>
    <col min="3075" max="3075" width="19.7265625" style="3" customWidth="1"/>
    <col min="3076" max="3076" width="10.1796875" style="3" customWidth="1"/>
    <col min="3077" max="3077" width="10.7265625" style="3" customWidth="1"/>
    <col min="3078" max="3078" width="9.7265625" style="3" customWidth="1"/>
    <col min="3079" max="3079" width="8.7265625" style="3" customWidth="1"/>
    <col min="3080" max="3080" width="12" style="3" customWidth="1"/>
    <col min="3081" max="3081" width="0" style="3" hidden="1" customWidth="1"/>
    <col min="3082" max="3328" width="9.26953125" style="3"/>
    <col min="3329" max="3329" width="9" style="3" customWidth="1"/>
    <col min="3330" max="3330" width="15.81640625" style="3" customWidth="1"/>
    <col min="3331" max="3331" width="19.7265625" style="3" customWidth="1"/>
    <col min="3332" max="3332" width="10.1796875" style="3" customWidth="1"/>
    <col min="3333" max="3333" width="10.7265625" style="3" customWidth="1"/>
    <col min="3334" max="3334" width="9.7265625" style="3" customWidth="1"/>
    <col min="3335" max="3335" width="8.7265625" style="3" customWidth="1"/>
    <col min="3336" max="3336" width="12" style="3" customWidth="1"/>
    <col min="3337" max="3337" width="0" style="3" hidden="1" customWidth="1"/>
    <col min="3338" max="3584" width="9.26953125" style="3"/>
    <col min="3585" max="3585" width="9" style="3" customWidth="1"/>
    <col min="3586" max="3586" width="15.81640625" style="3" customWidth="1"/>
    <col min="3587" max="3587" width="19.7265625" style="3" customWidth="1"/>
    <col min="3588" max="3588" width="10.1796875" style="3" customWidth="1"/>
    <col min="3589" max="3589" width="10.7265625" style="3" customWidth="1"/>
    <col min="3590" max="3590" width="9.7265625" style="3" customWidth="1"/>
    <col min="3591" max="3591" width="8.7265625" style="3" customWidth="1"/>
    <col min="3592" max="3592" width="12" style="3" customWidth="1"/>
    <col min="3593" max="3593" width="0" style="3" hidden="1" customWidth="1"/>
    <col min="3594" max="3840" width="9.26953125" style="3"/>
    <col min="3841" max="3841" width="9" style="3" customWidth="1"/>
    <col min="3842" max="3842" width="15.81640625" style="3" customWidth="1"/>
    <col min="3843" max="3843" width="19.7265625" style="3" customWidth="1"/>
    <col min="3844" max="3844" width="10.1796875" style="3" customWidth="1"/>
    <col min="3845" max="3845" width="10.7265625" style="3" customWidth="1"/>
    <col min="3846" max="3846" width="9.7265625" style="3" customWidth="1"/>
    <col min="3847" max="3847" width="8.7265625" style="3" customWidth="1"/>
    <col min="3848" max="3848" width="12" style="3" customWidth="1"/>
    <col min="3849" max="3849" width="0" style="3" hidden="1" customWidth="1"/>
    <col min="3850" max="4096" width="9.26953125" style="3"/>
    <col min="4097" max="4097" width="9" style="3" customWidth="1"/>
    <col min="4098" max="4098" width="15.81640625" style="3" customWidth="1"/>
    <col min="4099" max="4099" width="19.7265625" style="3" customWidth="1"/>
    <col min="4100" max="4100" width="10.1796875" style="3" customWidth="1"/>
    <col min="4101" max="4101" width="10.7265625" style="3" customWidth="1"/>
    <col min="4102" max="4102" width="9.7265625" style="3" customWidth="1"/>
    <col min="4103" max="4103" width="8.7265625" style="3" customWidth="1"/>
    <col min="4104" max="4104" width="12" style="3" customWidth="1"/>
    <col min="4105" max="4105" width="0" style="3" hidden="1" customWidth="1"/>
    <col min="4106" max="4352" width="9.26953125" style="3"/>
    <col min="4353" max="4353" width="9" style="3" customWidth="1"/>
    <col min="4354" max="4354" width="15.81640625" style="3" customWidth="1"/>
    <col min="4355" max="4355" width="19.7265625" style="3" customWidth="1"/>
    <col min="4356" max="4356" width="10.1796875" style="3" customWidth="1"/>
    <col min="4357" max="4357" width="10.7265625" style="3" customWidth="1"/>
    <col min="4358" max="4358" width="9.7265625" style="3" customWidth="1"/>
    <col min="4359" max="4359" width="8.7265625" style="3" customWidth="1"/>
    <col min="4360" max="4360" width="12" style="3" customWidth="1"/>
    <col min="4361" max="4361" width="0" style="3" hidden="1" customWidth="1"/>
    <col min="4362" max="4608" width="9.26953125" style="3"/>
    <col min="4609" max="4609" width="9" style="3" customWidth="1"/>
    <col min="4610" max="4610" width="15.81640625" style="3" customWidth="1"/>
    <col min="4611" max="4611" width="19.7265625" style="3" customWidth="1"/>
    <col min="4612" max="4612" width="10.1796875" style="3" customWidth="1"/>
    <col min="4613" max="4613" width="10.7265625" style="3" customWidth="1"/>
    <col min="4614" max="4614" width="9.7265625" style="3" customWidth="1"/>
    <col min="4615" max="4615" width="8.7265625" style="3" customWidth="1"/>
    <col min="4616" max="4616" width="12" style="3" customWidth="1"/>
    <col min="4617" max="4617" width="0" style="3" hidden="1" customWidth="1"/>
    <col min="4618" max="4864" width="9.26953125" style="3"/>
    <col min="4865" max="4865" width="9" style="3" customWidth="1"/>
    <col min="4866" max="4866" width="15.81640625" style="3" customWidth="1"/>
    <col min="4867" max="4867" width="19.7265625" style="3" customWidth="1"/>
    <col min="4868" max="4868" width="10.1796875" style="3" customWidth="1"/>
    <col min="4869" max="4869" width="10.7265625" style="3" customWidth="1"/>
    <col min="4870" max="4870" width="9.7265625" style="3" customWidth="1"/>
    <col min="4871" max="4871" width="8.7265625" style="3" customWidth="1"/>
    <col min="4872" max="4872" width="12" style="3" customWidth="1"/>
    <col min="4873" max="4873" width="0" style="3" hidden="1" customWidth="1"/>
    <col min="4874" max="5120" width="9.26953125" style="3"/>
    <col min="5121" max="5121" width="9" style="3" customWidth="1"/>
    <col min="5122" max="5122" width="15.81640625" style="3" customWidth="1"/>
    <col min="5123" max="5123" width="19.7265625" style="3" customWidth="1"/>
    <col min="5124" max="5124" width="10.1796875" style="3" customWidth="1"/>
    <col min="5125" max="5125" width="10.7265625" style="3" customWidth="1"/>
    <col min="5126" max="5126" width="9.7265625" style="3" customWidth="1"/>
    <col min="5127" max="5127" width="8.7265625" style="3" customWidth="1"/>
    <col min="5128" max="5128" width="12" style="3" customWidth="1"/>
    <col min="5129" max="5129" width="0" style="3" hidden="1" customWidth="1"/>
    <col min="5130" max="5376" width="9.26953125" style="3"/>
    <col min="5377" max="5377" width="9" style="3" customWidth="1"/>
    <col min="5378" max="5378" width="15.81640625" style="3" customWidth="1"/>
    <col min="5379" max="5379" width="19.7265625" style="3" customWidth="1"/>
    <col min="5380" max="5380" width="10.1796875" style="3" customWidth="1"/>
    <col min="5381" max="5381" width="10.7265625" style="3" customWidth="1"/>
    <col min="5382" max="5382" width="9.7265625" style="3" customWidth="1"/>
    <col min="5383" max="5383" width="8.7265625" style="3" customWidth="1"/>
    <col min="5384" max="5384" width="12" style="3" customWidth="1"/>
    <col min="5385" max="5385" width="0" style="3" hidden="1" customWidth="1"/>
    <col min="5386" max="5632" width="9.26953125" style="3"/>
    <col min="5633" max="5633" width="9" style="3" customWidth="1"/>
    <col min="5634" max="5634" width="15.81640625" style="3" customWidth="1"/>
    <col min="5635" max="5635" width="19.7265625" style="3" customWidth="1"/>
    <col min="5636" max="5636" width="10.1796875" style="3" customWidth="1"/>
    <col min="5637" max="5637" width="10.7265625" style="3" customWidth="1"/>
    <col min="5638" max="5638" width="9.7265625" style="3" customWidth="1"/>
    <col min="5639" max="5639" width="8.7265625" style="3" customWidth="1"/>
    <col min="5640" max="5640" width="12" style="3" customWidth="1"/>
    <col min="5641" max="5641" width="0" style="3" hidden="1" customWidth="1"/>
    <col min="5642" max="5888" width="9.26953125" style="3"/>
    <col min="5889" max="5889" width="9" style="3" customWidth="1"/>
    <col min="5890" max="5890" width="15.81640625" style="3" customWidth="1"/>
    <col min="5891" max="5891" width="19.7265625" style="3" customWidth="1"/>
    <col min="5892" max="5892" width="10.1796875" style="3" customWidth="1"/>
    <col min="5893" max="5893" width="10.7265625" style="3" customWidth="1"/>
    <col min="5894" max="5894" width="9.7265625" style="3" customWidth="1"/>
    <col min="5895" max="5895" width="8.7265625" style="3" customWidth="1"/>
    <col min="5896" max="5896" width="12" style="3" customWidth="1"/>
    <col min="5897" max="5897" width="0" style="3" hidden="1" customWidth="1"/>
    <col min="5898" max="6144" width="9.26953125" style="3"/>
    <col min="6145" max="6145" width="9" style="3" customWidth="1"/>
    <col min="6146" max="6146" width="15.81640625" style="3" customWidth="1"/>
    <col min="6147" max="6147" width="19.7265625" style="3" customWidth="1"/>
    <col min="6148" max="6148" width="10.1796875" style="3" customWidth="1"/>
    <col min="6149" max="6149" width="10.7265625" style="3" customWidth="1"/>
    <col min="6150" max="6150" width="9.7265625" style="3" customWidth="1"/>
    <col min="6151" max="6151" width="8.7265625" style="3" customWidth="1"/>
    <col min="6152" max="6152" width="12" style="3" customWidth="1"/>
    <col min="6153" max="6153" width="0" style="3" hidden="1" customWidth="1"/>
    <col min="6154" max="6400" width="9.26953125" style="3"/>
    <col min="6401" max="6401" width="9" style="3" customWidth="1"/>
    <col min="6402" max="6402" width="15.81640625" style="3" customWidth="1"/>
    <col min="6403" max="6403" width="19.7265625" style="3" customWidth="1"/>
    <col min="6404" max="6404" width="10.1796875" style="3" customWidth="1"/>
    <col min="6405" max="6405" width="10.7265625" style="3" customWidth="1"/>
    <col min="6406" max="6406" width="9.7265625" style="3" customWidth="1"/>
    <col min="6407" max="6407" width="8.7265625" style="3" customWidth="1"/>
    <col min="6408" max="6408" width="12" style="3" customWidth="1"/>
    <col min="6409" max="6409" width="0" style="3" hidden="1" customWidth="1"/>
    <col min="6410" max="6656" width="9.26953125" style="3"/>
    <col min="6657" max="6657" width="9" style="3" customWidth="1"/>
    <col min="6658" max="6658" width="15.81640625" style="3" customWidth="1"/>
    <col min="6659" max="6659" width="19.7265625" style="3" customWidth="1"/>
    <col min="6660" max="6660" width="10.1796875" style="3" customWidth="1"/>
    <col min="6661" max="6661" width="10.7265625" style="3" customWidth="1"/>
    <col min="6662" max="6662" width="9.7265625" style="3" customWidth="1"/>
    <col min="6663" max="6663" width="8.7265625" style="3" customWidth="1"/>
    <col min="6664" max="6664" width="12" style="3" customWidth="1"/>
    <col min="6665" max="6665" width="0" style="3" hidden="1" customWidth="1"/>
    <col min="6666" max="6912" width="9.26953125" style="3"/>
    <col min="6913" max="6913" width="9" style="3" customWidth="1"/>
    <col min="6914" max="6914" width="15.81640625" style="3" customWidth="1"/>
    <col min="6915" max="6915" width="19.7265625" style="3" customWidth="1"/>
    <col min="6916" max="6916" width="10.1796875" style="3" customWidth="1"/>
    <col min="6917" max="6917" width="10.7265625" style="3" customWidth="1"/>
    <col min="6918" max="6918" width="9.7265625" style="3" customWidth="1"/>
    <col min="6919" max="6919" width="8.7265625" style="3" customWidth="1"/>
    <col min="6920" max="6920" width="12" style="3" customWidth="1"/>
    <col min="6921" max="6921" width="0" style="3" hidden="1" customWidth="1"/>
    <col min="6922" max="7168" width="9.26953125" style="3"/>
    <col min="7169" max="7169" width="9" style="3" customWidth="1"/>
    <col min="7170" max="7170" width="15.81640625" style="3" customWidth="1"/>
    <col min="7171" max="7171" width="19.7265625" style="3" customWidth="1"/>
    <col min="7172" max="7172" width="10.1796875" style="3" customWidth="1"/>
    <col min="7173" max="7173" width="10.7265625" style="3" customWidth="1"/>
    <col min="7174" max="7174" width="9.7265625" style="3" customWidth="1"/>
    <col min="7175" max="7175" width="8.7265625" style="3" customWidth="1"/>
    <col min="7176" max="7176" width="12" style="3" customWidth="1"/>
    <col min="7177" max="7177" width="0" style="3" hidden="1" customWidth="1"/>
    <col min="7178" max="7424" width="9.26953125" style="3"/>
    <col min="7425" max="7425" width="9" style="3" customWidth="1"/>
    <col min="7426" max="7426" width="15.81640625" style="3" customWidth="1"/>
    <col min="7427" max="7427" width="19.7265625" style="3" customWidth="1"/>
    <col min="7428" max="7428" width="10.1796875" style="3" customWidth="1"/>
    <col min="7429" max="7429" width="10.7265625" style="3" customWidth="1"/>
    <col min="7430" max="7430" width="9.7265625" style="3" customWidth="1"/>
    <col min="7431" max="7431" width="8.7265625" style="3" customWidth="1"/>
    <col min="7432" max="7432" width="12" style="3" customWidth="1"/>
    <col min="7433" max="7433" width="0" style="3" hidden="1" customWidth="1"/>
    <col min="7434" max="7680" width="9.26953125" style="3"/>
    <col min="7681" max="7681" width="9" style="3" customWidth="1"/>
    <col min="7682" max="7682" width="15.81640625" style="3" customWidth="1"/>
    <col min="7683" max="7683" width="19.7265625" style="3" customWidth="1"/>
    <col min="7684" max="7684" width="10.1796875" style="3" customWidth="1"/>
    <col min="7685" max="7685" width="10.7265625" style="3" customWidth="1"/>
    <col min="7686" max="7686" width="9.7265625" style="3" customWidth="1"/>
    <col min="7687" max="7687" width="8.7265625" style="3" customWidth="1"/>
    <col min="7688" max="7688" width="12" style="3" customWidth="1"/>
    <col min="7689" max="7689" width="0" style="3" hidden="1" customWidth="1"/>
    <col min="7690" max="7936" width="9.26953125" style="3"/>
    <col min="7937" max="7937" width="9" style="3" customWidth="1"/>
    <col min="7938" max="7938" width="15.81640625" style="3" customWidth="1"/>
    <col min="7939" max="7939" width="19.7265625" style="3" customWidth="1"/>
    <col min="7940" max="7940" width="10.1796875" style="3" customWidth="1"/>
    <col min="7941" max="7941" width="10.7265625" style="3" customWidth="1"/>
    <col min="7942" max="7942" width="9.7265625" style="3" customWidth="1"/>
    <col min="7943" max="7943" width="8.7265625" style="3" customWidth="1"/>
    <col min="7944" max="7944" width="12" style="3" customWidth="1"/>
    <col min="7945" max="7945" width="0" style="3" hidden="1" customWidth="1"/>
    <col min="7946" max="8192" width="9.26953125" style="3"/>
    <col min="8193" max="8193" width="9" style="3" customWidth="1"/>
    <col min="8194" max="8194" width="15.81640625" style="3" customWidth="1"/>
    <col min="8195" max="8195" width="19.7265625" style="3" customWidth="1"/>
    <col min="8196" max="8196" width="10.1796875" style="3" customWidth="1"/>
    <col min="8197" max="8197" width="10.7265625" style="3" customWidth="1"/>
    <col min="8198" max="8198" width="9.7265625" style="3" customWidth="1"/>
    <col min="8199" max="8199" width="8.7265625" style="3" customWidth="1"/>
    <col min="8200" max="8200" width="12" style="3" customWidth="1"/>
    <col min="8201" max="8201" width="0" style="3" hidden="1" customWidth="1"/>
    <col min="8202" max="8448" width="9.26953125" style="3"/>
    <col min="8449" max="8449" width="9" style="3" customWidth="1"/>
    <col min="8450" max="8450" width="15.81640625" style="3" customWidth="1"/>
    <col min="8451" max="8451" width="19.7265625" style="3" customWidth="1"/>
    <col min="8452" max="8452" width="10.1796875" style="3" customWidth="1"/>
    <col min="8453" max="8453" width="10.7265625" style="3" customWidth="1"/>
    <col min="8454" max="8454" width="9.7265625" style="3" customWidth="1"/>
    <col min="8455" max="8455" width="8.7265625" style="3" customWidth="1"/>
    <col min="8456" max="8456" width="12" style="3" customWidth="1"/>
    <col min="8457" max="8457" width="0" style="3" hidden="1" customWidth="1"/>
    <col min="8458" max="8704" width="9.26953125" style="3"/>
    <col min="8705" max="8705" width="9" style="3" customWidth="1"/>
    <col min="8706" max="8706" width="15.81640625" style="3" customWidth="1"/>
    <col min="8707" max="8707" width="19.7265625" style="3" customWidth="1"/>
    <col min="8708" max="8708" width="10.1796875" style="3" customWidth="1"/>
    <col min="8709" max="8709" width="10.7265625" style="3" customWidth="1"/>
    <col min="8710" max="8710" width="9.7265625" style="3" customWidth="1"/>
    <col min="8711" max="8711" width="8.7265625" style="3" customWidth="1"/>
    <col min="8712" max="8712" width="12" style="3" customWidth="1"/>
    <col min="8713" max="8713" width="0" style="3" hidden="1" customWidth="1"/>
    <col min="8714" max="8960" width="9.26953125" style="3"/>
    <col min="8961" max="8961" width="9" style="3" customWidth="1"/>
    <col min="8962" max="8962" width="15.81640625" style="3" customWidth="1"/>
    <col min="8963" max="8963" width="19.7265625" style="3" customWidth="1"/>
    <col min="8964" max="8964" width="10.1796875" style="3" customWidth="1"/>
    <col min="8965" max="8965" width="10.7265625" style="3" customWidth="1"/>
    <col min="8966" max="8966" width="9.7265625" style="3" customWidth="1"/>
    <col min="8967" max="8967" width="8.7265625" style="3" customWidth="1"/>
    <col min="8968" max="8968" width="12" style="3" customWidth="1"/>
    <col min="8969" max="8969" width="0" style="3" hidden="1" customWidth="1"/>
    <col min="8970" max="9216" width="9.26953125" style="3"/>
    <col min="9217" max="9217" width="9" style="3" customWidth="1"/>
    <col min="9218" max="9218" width="15.81640625" style="3" customWidth="1"/>
    <col min="9219" max="9219" width="19.7265625" style="3" customWidth="1"/>
    <col min="9220" max="9220" width="10.1796875" style="3" customWidth="1"/>
    <col min="9221" max="9221" width="10.7265625" style="3" customWidth="1"/>
    <col min="9222" max="9222" width="9.7265625" style="3" customWidth="1"/>
    <col min="9223" max="9223" width="8.7265625" style="3" customWidth="1"/>
    <col min="9224" max="9224" width="12" style="3" customWidth="1"/>
    <col min="9225" max="9225" width="0" style="3" hidden="1" customWidth="1"/>
    <col min="9226" max="9472" width="9.26953125" style="3"/>
    <col min="9473" max="9473" width="9" style="3" customWidth="1"/>
    <col min="9474" max="9474" width="15.81640625" style="3" customWidth="1"/>
    <col min="9475" max="9475" width="19.7265625" style="3" customWidth="1"/>
    <col min="9476" max="9476" width="10.1796875" style="3" customWidth="1"/>
    <col min="9477" max="9477" width="10.7265625" style="3" customWidth="1"/>
    <col min="9478" max="9478" width="9.7265625" style="3" customWidth="1"/>
    <col min="9479" max="9479" width="8.7265625" style="3" customWidth="1"/>
    <col min="9480" max="9480" width="12" style="3" customWidth="1"/>
    <col min="9481" max="9481" width="0" style="3" hidden="1" customWidth="1"/>
    <col min="9482" max="9728" width="9.26953125" style="3"/>
    <col min="9729" max="9729" width="9" style="3" customWidth="1"/>
    <col min="9730" max="9730" width="15.81640625" style="3" customWidth="1"/>
    <col min="9731" max="9731" width="19.7265625" style="3" customWidth="1"/>
    <col min="9732" max="9732" width="10.1796875" style="3" customWidth="1"/>
    <col min="9733" max="9733" width="10.7265625" style="3" customWidth="1"/>
    <col min="9734" max="9734" width="9.7265625" style="3" customWidth="1"/>
    <col min="9735" max="9735" width="8.7265625" style="3" customWidth="1"/>
    <col min="9736" max="9736" width="12" style="3" customWidth="1"/>
    <col min="9737" max="9737" width="0" style="3" hidden="1" customWidth="1"/>
    <col min="9738" max="9984" width="9.26953125" style="3"/>
    <col min="9985" max="9985" width="9" style="3" customWidth="1"/>
    <col min="9986" max="9986" width="15.81640625" style="3" customWidth="1"/>
    <col min="9987" max="9987" width="19.7265625" style="3" customWidth="1"/>
    <col min="9988" max="9988" width="10.1796875" style="3" customWidth="1"/>
    <col min="9989" max="9989" width="10.7265625" style="3" customWidth="1"/>
    <col min="9990" max="9990" width="9.7265625" style="3" customWidth="1"/>
    <col min="9991" max="9991" width="8.7265625" style="3" customWidth="1"/>
    <col min="9992" max="9992" width="12" style="3" customWidth="1"/>
    <col min="9993" max="9993" width="0" style="3" hidden="1" customWidth="1"/>
    <col min="9994" max="10240" width="9.26953125" style="3"/>
    <col min="10241" max="10241" width="9" style="3" customWidth="1"/>
    <col min="10242" max="10242" width="15.81640625" style="3" customWidth="1"/>
    <col min="10243" max="10243" width="19.7265625" style="3" customWidth="1"/>
    <col min="10244" max="10244" width="10.1796875" style="3" customWidth="1"/>
    <col min="10245" max="10245" width="10.7265625" style="3" customWidth="1"/>
    <col min="10246" max="10246" width="9.7265625" style="3" customWidth="1"/>
    <col min="10247" max="10247" width="8.7265625" style="3" customWidth="1"/>
    <col min="10248" max="10248" width="12" style="3" customWidth="1"/>
    <col min="10249" max="10249" width="0" style="3" hidden="1" customWidth="1"/>
    <col min="10250" max="10496" width="9.26953125" style="3"/>
    <col min="10497" max="10497" width="9" style="3" customWidth="1"/>
    <col min="10498" max="10498" width="15.81640625" style="3" customWidth="1"/>
    <col min="10499" max="10499" width="19.7265625" style="3" customWidth="1"/>
    <col min="10500" max="10500" width="10.1796875" style="3" customWidth="1"/>
    <col min="10501" max="10501" width="10.7265625" style="3" customWidth="1"/>
    <col min="10502" max="10502" width="9.7265625" style="3" customWidth="1"/>
    <col min="10503" max="10503" width="8.7265625" style="3" customWidth="1"/>
    <col min="10504" max="10504" width="12" style="3" customWidth="1"/>
    <col min="10505" max="10505" width="0" style="3" hidden="1" customWidth="1"/>
    <col min="10506" max="10752" width="9.26953125" style="3"/>
    <col min="10753" max="10753" width="9" style="3" customWidth="1"/>
    <col min="10754" max="10754" width="15.81640625" style="3" customWidth="1"/>
    <col min="10755" max="10755" width="19.7265625" style="3" customWidth="1"/>
    <col min="10756" max="10756" width="10.1796875" style="3" customWidth="1"/>
    <col min="10757" max="10757" width="10.7265625" style="3" customWidth="1"/>
    <col min="10758" max="10758" width="9.7265625" style="3" customWidth="1"/>
    <col min="10759" max="10759" width="8.7265625" style="3" customWidth="1"/>
    <col min="10760" max="10760" width="12" style="3" customWidth="1"/>
    <col min="10761" max="10761" width="0" style="3" hidden="1" customWidth="1"/>
    <col min="10762" max="11008" width="9.26953125" style="3"/>
    <col min="11009" max="11009" width="9" style="3" customWidth="1"/>
    <col min="11010" max="11010" width="15.81640625" style="3" customWidth="1"/>
    <col min="11011" max="11011" width="19.7265625" style="3" customWidth="1"/>
    <col min="11012" max="11012" width="10.1796875" style="3" customWidth="1"/>
    <col min="11013" max="11013" width="10.7265625" style="3" customWidth="1"/>
    <col min="11014" max="11014" width="9.7265625" style="3" customWidth="1"/>
    <col min="11015" max="11015" width="8.7265625" style="3" customWidth="1"/>
    <col min="11016" max="11016" width="12" style="3" customWidth="1"/>
    <col min="11017" max="11017" width="0" style="3" hidden="1" customWidth="1"/>
    <col min="11018" max="11264" width="9.26953125" style="3"/>
    <col min="11265" max="11265" width="9" style="3" customWidth="1"/>
    <col min="11266" max="11266" width="15.81640625" style="3" customWidth="1"/>
    <col min="11267" max="11267" width="19.7265625" style="3" customWidth="1"/>
    <col min="11268" max="11268" width="10.1796875" style="3" customWidth="1"/>
    <col min="11269" max="11269" width="10.7265625" style="3" customWidth="1"/>
    <col min="11270" max="11270" width="9.7265625" style="3" customWidth="1"/>
    <col min="11271" max="11271" width="8.7265625" style="3" customWidth="1"/>
    <col min="11272" max="11272" width="12" style="3" customWidth="1"/>
    <col min="11273" max="11273" width="0" style="3" hidden="1" customWidth="1"/>
    <col min="11274" max="11520" width="9.26953125" style="3"/>
    <col min="11521" max="11521" width="9" style="3" customWidth="1"/>
    <col min="11522" max="11522" width="15.81640625" style="3" customWidth="1"/>
    <col min="11523" max="11523" width="19.7265625" style="3" customWidth="1"/>
    <col min="11524" max="11524" width="10.1796875" style="3" customWidth="1"/>
    <col min="11525" max="11525" width="10.7265625" style="3" customWidth="1"/>
    <col min="11526" max="11526" width="9.7265625" style="3" customWidth="1"/>
    <col min="11527" max="11527" width="8.7265625" style="3" customWidth="1"/>
    <col min="11528" max="11528" width="12" style="3" customWidth="1"/>
    <col min="11529" max="11529" width="0" style="3" hidden="1" customWidth="1"/>
    <col min="11530" max="11776" width="9.26953125" style="3"/>
    <col min="11777" max="11777" width="9" style="3" customWidth="1"/>
    <col min="11778" max="11778" width="15.81640625" style="3" customWidth="1"/>
    <col min="11779" max="11779" width="19.7265625" style="3" customWidth="1"/>
    <col min="11780" max="11780" width="10.1796875" style="3" customWidth="1"/>
    <col min="11781" max="11781" width="10.7265625" style="3" customWidth="1"/>
    <col min="11782" max="11782" width="9.7265625" style="3" customWidth="1"/>
    <col min="11783" max="11783" width="8.7265625" style="3" customWidth="1"/>
    <col min="11784" max="11784" width="12" style="3" customWidth="1"/>
    <col min="11785" max="11785" width="0" style="3" hidden="1" customWidth="1"/>
    <col min="11786" max="12032" width="9.26953125" style="3"/>
    <col min="12033" max="12033" width="9" style="3" customWidth="1"/>
    <col min="12034" max="12034" width="15.81640625" style="3" customWidth="1"/>
    <col min="12035" max="12035" width="19.7265625" style="3" customWidth="1"/>
    <col min="12036" max="12036" width="10.1796875" style="3" customWidth="1"/>
    <col min="12037" max="12037" width="10.7265625" style="3" customWidth="1"/>
    <col min="12038" max="12038" width="9.7265625" style="3" customWidth="1"/>
    <col min="12039" max="12039" width="8.7265625" style="3" customWidth="1"/>
    <col min="12040" max="12040" width="12" style="3" customWidth="1"/>
    <col min="12041" max="12041" width="0" style="3" hidden="1" customWidth="1"/>
    <col min="12042" max="12288" width="9.26953125" style="3"/>
    <col min="12289" max="12289" width="9" style="3" customWidth="1"/>
    <col min="12290" max="12290" width="15.81640625" style="3" customWidth="1"/>
    <col min="12291" max="12291" width="19.7265625" style="3" customWidth="1"/>
    <col min="12292" max="12292" width="10.1796875" style="3" customWidth="1"/>
    <col min="12293" max="12293" width="10.7265625" style="3" customWidth="1"/>
    <col min="12294" max="12294" width="9.7265625" style="3" customWidth="1"/>
    <col min="12295" max="12295" width="8.7265625" style="3" customWidth="1"/>
    <col min="12296" max="12296" width="12" style="3" customWidth="1"/>
    <col min="12297" max="12297" width="0" style="3" hidden="1" customWidth="1"/>
    <col min="12298" max="12544" width="9.26953125" style="3"/>
    <col min="12545" max="12545" width="9" style="3" customWidth="1"/>
    <col min="12546" max="12546" width="15.81640625" style="3" customWidth="1"/>
    <col min="12547" max="12547" width="19.7265625" style="3" customWidth="1"/>
    <col min="12548" max="12548" width="10.1796875" style="3" customWidth="1"/>
    <col min="12549" max="12549" width="10.7265625" style="3" customWidth="1"/>
    <col min="12550" max="12550" width="9.7265625" style="3" customWidth="1"/>
    <col min="12551" max="12551" width="8.7265625" style="3" customWidth="1"/>
    <col min="12552" max="12552" width="12" style="3" customWidth="1"/>
    <col min="12553" max="12553" width="0" style="3" hidden="1" customWidth="1"/>
    <col min="12554" max="12800" width="9.26953125" style="3"/>
    <col min="12801" max="12801" width="9" style="3" customWidth="1"/>
    <col min="12802" max="12802" width="15.81640625" style="3" customWidth="1"/>
    <col min="12803" max="12803" width="19.7265625" style="3" customWidth="1"/>
    <col min="12804" max="12804" width="10.1796875" style="3" customWidth="1"/>
    <col min="12805" max="12805" width="10.7265625" style="3" customWidth="1"/>
    <col min="12806" max="12806" width="9.7265625" style="3" customWidth="1"/>
    <col min="12807" max="12807" width="8.7265625" style="3" customWidth="1"/>
    <col min="12808" max="12808" width="12" style="3" customWidth="1"/>
    <col min="12809" max="12809" width="0" style="3" hidden="1" customWidth="1"/>
    <col min="12810" max="13056" width="9.26953125" style="3"/>
    <col min="13057" max="13057" width="9" style="3" customWidth="1"/>
    <col min="13058" max="13058" width="15.81640625" style="3" customWidth="1"/>
    <col min="13059" max="13059" width="19.7265625" style="3" customWidth="1"/>
    <col min="13060" max="13060" width="10.1796875" style="3" customWidth="1"/>
    <col min="13061" max="13061" width="10.7265625" style="3" customWidth="1"/>
    <col min="13062" max="13062" width="9.7265625" style="3" customWidth="1"/>
    <col min="13063" max="13063" width="8.7265625" style="3" customWidth="1"/>
    <col min="13064" max="13064" width="12" style="3" customWidth="1"/>
    <col min="13065" max="13065" width="0" style="3" hidden="1" customWidth="1"/>
    <col min="13066" max="13312" width="9.26953125" style="3"/>
    <col min="13313" max="13313" width="9" style="3" customWidth="1"/>
    <col min="13314" max="13314" width="15.81640625" style="3" customWidth="1"/>
    <col min="13315" max="13315" width="19.7265625" style="3" customWidth="1"/>
    <col min="13316" max="13316" width="10.1796875" style="3" customWidth="1"/>
    <col min="13317" max="13317" width="10.7265625" style="3" customWidth="1"/>
    <col min="13318" max="13318" width="9.7265625" style="3" customWidth="1"/>
    <col min="13319" max="13319" width="8.7265625" style="3" customWidth="1"/>
    <col min="13320" max="13320" width="12" style="3" customWidth="1"/>
    <col min="13321" max="13321" width="0" style="3" hidden="1" customWidth="1"/>
    <col min="13322" max="13568" width="9.26953125" style="3"/>
    <col min="13569" max="13569" width="9" style="3" customWidth="1"/>
    <col min="13570" max="13570" width="15.81640625" style="3" customWidth="1"/>
    <col min="13571" max="13571" width="19.7265625" style="3" customWidth="1"/>
    <col min="13572" max="13572" width="10.1796875" style="3" customWidth="1"/>
    <col min="13573" max="13573" width="10.7265625" style="3" customWidth="1"/>
    <col min="13574" max="13574" width="9.7265625" style="3" customWidth="1"/>
    <col min="13575" max="13575" width="8.7265625" style="3" customWidth="1"/>
    <col min="13576" max="13576" width="12" style="3" customWidth="1"/>
    <col min="13577" max="13577" width="0" style="3" hidden="1" customWidth="1"/>
    <col min="13578" max="13824" width="9.26953125" style="3"/>
    <col min="13825" max="13825" width="9" style="3" customWidth="1"/>
    <col min="13826" max="13826" width="15.81640625" style="3" customWidth="1"/>
    <col min="13827" max="13827" width="19.7265625" style="3" customWidth="1"/>
    <col min="13828" max="13828" width="10.1796875" style="3" customWidth="1"/>
    <col min="13829" max="13829" width="10.7265625" style="3" customWidth="1"/>
    <col min="13830" max="13830" width="9.7265625" style="3" customWidth="1"/>
    <col min="13831" max="13831" width="8.7265625" style="3" customWidth="1"/>
    <col min="13832" max="13832" width="12" style="3" customWidth="1"/>
    <col min="13833" max="13833" width="0" style="3" hidden="1" customWidth="1"/>
    <col min="13834" max="14080" width="9.26953125" style="3"/>
    <col min="14081" max="14081" width="9" style="3" customWidth="1"/>
    <col min="14082" max="14082" width="15.81640625" style="3" customWidth="1"/>
    <col min="14083" max="14083" width="19.7265625" style="3" customWidth="1"/>
    <col min="14084" max="14084" width="10.1796875" style="3" customWidth="1"/>
    <col min="14085" max="14085" width="10.7265625" style="3" customWidth="1"/>
    <col min="14086" max="14086" width="9.7265625" style="3" customWidth="1"/>
    <col min="14087" max="14087" width="8.7265625" style="3" customWidth="1"/>
    <col min="14088" max="14088" width="12" style="3" customWidth="1"/>
    <col min="14089" max="14089" width="0" style="3" hidden="1" customWidth="1"/>
    <col min="14090" max="14336" width="9.26953125" style="3"/>
    <col min="14337" max="14337" width="9" style="3" customWidth="1"/>
    <col min="14338" max="14338" width="15.81640625" style="3" customWidth="1"/>
    <col min="14339" max="14339" width="19.7265625" style="3" customWidth="1"/>
    <col min="14340" max="14340" width="10.1796875" style="3" customWidth="1"/>
    <col min="14341" max="14341" width="10.7265625" style="3" customWidth="1"/>
    <col min="14342" max="14342" width="9.7265625" style="3" customWidth="1"/>
    <col min="14343" max="14343" width="8.7265625" style="3" customWidth="1"/>
    <col min="14344" max="14344" width="12" style="3" customWidth="1"/>
    <col min="14345" max="14345" width="0" style="3" hidden="1" customWidth="1"/>
    <col min="14346" max="14592" width="9.26953125" style="3"/>
    <col min="14593" max="14593" width="9" style="3" customWidth="1"/>
    <col min="14594" max="14594" width="15.81640625" style="3" customWidth="1"/>
    <col min="14595" max="14595" width="19.7265625" style="3" customWidth="1"/>
    <col min="14596" max="14596" width="10.1796875" style="3" customWidth="1"/>
    <col min="14597" max="14597" width="10.7265625" style="3" customWidth="1"/>
    <col min="14598" max="14598" width="9.7265625" style="3" customWidth="1"/>
    <col min="14599" max="14599" width="8.7265625" style="3" customWidth="1"/>
    <col min="14600" max="14600" width="12" style="3" customWidth="1"/>
    <col min="14601" max="14601" width="0" style="3" hidden="1" customWidth="1"/>
    <col min="14602" max="14848" width="9.26953125" style="3"/>
    <col min="14849" max="14849" width="9" style="3" customWidth="1"/>
    <col min="14850" max="14850" width="15.81640625" style="3" customWidth="1"/>
    <col min="14851" max="14851" width="19.7265625" style="3" customWidth="1"/>
    <col min="14852" max="14852" width="10.1796875" style="3" customWidth="1"/>
    <col min="14853" max="14853" width="10.7265625" style="3" customWidth="1"/>
    <col min="14854" max="14854" width="9.7265625" style="3" customWidth="1"/>
    <col min="14855" max="14855" width="8.7265625" style="3" customWidth="1"/>
    <col min="14856" max="14856" width="12" style="3" customWidth="1"/>
    <col min="14857" max="14857" width="0" style="3" hidden="1" customWidth="1"/>
    <col min="14858" max="15104" width="9.26953125" style="3"/>
    <col min="15105" max="15105" width="9" style="3" customWidth="1"/>
    <col min="15106" max="15106" width="15.81640625" style="3" customWidth="1"/>
    <col min="15107" max="15107" width="19.7265625" style="3" customWidth="1"/>
    <col min="15108" max="15108" width="10.1796875" style="3" customWidth="1"/>
    <col min="15109" max="15109" width="10.7265625" style="3" customWidth="1"/>
    <col min="15110" max="15110" width="9.7265625" style="3" customWidth="1"/>
    <col min="15111" max="15111" width="8.7265625" style="3" customWidth="1"/>
    <col min="15112" max="15112" width="12" style="3" customWidth="1"/>
    <col min="15113" max="15113" width="0" style="3" hidden="1" customWidth="1"/>
    <col min="15114" max="15360" width="9.26953125" style="3"/>
    <col min="15361" max="15361" width="9" style="3" customWidth="1"/>
    <col min="15362" max="15362" width="15.81640625" style="3" customWidth="1"/>
    <col min="15363" max="15363" width="19.7265625" style="3" customWidth="1"/>
    <col min="15364" max="15364" width="10.1796875" style="3" customWidth="1"/>
    <col min="15365" max="15365" width="10.7265625" style="3" customWidth="1"/>
    <col min="15366" max="15366" width="9.7265625" style="3" customWidth="1"/>
    <col min="15367" max="15367" width="8.7265625" style="3" customWidth="1"/>
    <col min="15368" max="15368" width="12" style="3" customWidth="1"/>
    <col min="15369" max="15369" width="0" style="3" hidden="1" customWidth="1"/>
    <col min="15370" max="15616" width="9.26953125" style="3"/>
    <col min="15617" max="15617" width="9" style="3" customWidth="1"/>
    <col min="15618" max="15618" width="15.81640625" style="3" customWidth="1"/>
    <col min="15619" max="15619" width="19.7265625" style="3" customWidth="1"/>
    <col min="15620" max="15620" width="10.1796875" style="3" customWidth="1"/>
    <col min="15621" max="15621" width="10.7265625" style="3" customWidth="1"/>
    <col min="15622" max="15622" width="9.7265625" style="3" customWidth="1"/>
    <col min="15623" max="15623" width="8.7265625" style="3" customWidth="1"/>
    <col min="15624" max="15624" width="12" style="3" customWidth="1"/>
    <col min="15625" max="15625" width="0" style="3" hidden="1" customWidth="1"/>
    <col min="15626" max="15872" width="9.26953125" style="3"/>
    <col min="15873" max="15873" width="9" style="3" customWidth="1"/>
    <col min="15874" max="15874" width="15.81640625" style="3" customWidth="1"/>
    <col min="15875" max="15875" width="19.7265625" style="3" customWidth="1"/>
    <col min="15876" max="15876" width="10.1796875" style="3" customWidth="1"/>
    <col min="15877" max="15877" width="10.7265625" style="3" customWidth="1"/>
    <col min="15878" max="15878" width="9.7265625" style="3" customWidth="1"/>
    <col min="15879" max="15879" width="8.7265625" style="3" customWidth="1"/>
    <col min="15880" max="15880" width="12" style="3" customWidth="1"/>
    <col min="15881" max="15881" width="0" style="3" hidden="1" customWidth="1"/>
    <col min="15882" max="16128" width="9.26953125" style="3"/>
    <col min="16129" max="16129" width="9" style="3" customWidth="1"/>
    <col min="16130" max="16130" width="15.81640625" style="3" customWidth="1"/>
    <col min="16131" max="16131" width="19.7265625" style="3" customWidth="1"/>
    <col min="16132" max="16132" width="10.1796875" style="3" customWidth="1"/>
    <col min="16133" max="16133" width="10.7265625" style="3" customWidth="1"/>
    <col min="16134" max="16134" width="9.7265625" style="3" customWidth="1"/>
    <col min="16135" max="16135" width="8.7265625" style="3" customWidth="1"/>
    <col min="16136" max="16136" width="12" style="3" customWidth="1"/>
    <col min="16137" max="16137" width="0" style="3" hidden="1" customWidth="1"/>
    <col min="16138" max="16384" width="9.26953125" style="3"/>
  </cols>
  <sheetData>
    <row r="1" spans="1:16" s="2" customFormat="1" ht="15" customHeight="1" x14ac:dyDescent="0.4">
      <c r="A1" s="169" t="e" vm="1">
        <v>#VALUE!</v>
      </c>
      <c r="B1" s="169"/>
      <c r="C1" s="169"/>
      <c r="D1" s="181"/>
      <c r="E1" s="181"/>
      <c r="F1" s="182"/>
      <c r="G1" s="182"/>
      <c r="H1" s="182"/>
    </row>
    <row r="2" spans="1:16" s="2" customFormat="1" ht="15" customHeight="1" thickBot="1" x14ac:dyDescent="0.45">
      <c r="A2" s="169"/>
      <c r="B2" s="169"/>
      <c r="C2" s="169"/>
      <c r="D2" s="181"/>
      <c r="E2" s="181"/>
      <c r="F2" s="183"/>
      <c r="G2" s="183"/>
      <c r="H2" s="183"/>
      <c r="I2" s="1"/>
    </row>
    <row r="3" spans="1:16" s="2" customFormat="1" ht="15" customHeight="1" thickBot="1" x14ac:dyDescent="0.45">
      <c r="A3" s="169"/>
      <c r="B3" s="169"/>
      <c r="C3" s="169"/>
      <c r="D3" s="181"/>
      <c r="E3" s="181"/>
      <c r="F3" s="179" t="s">
        <v>0</v>
      </c>
      <c r="G3" s="180"/>
      <c r="H3" s="44" t="s">
        <v>69</v>
      </c>
      <c r="I3" s="1"/>
    </row>
    <row r="4" spans="1:16" s="2" customFormat="1" ht="15" customHeight="1" x14ac:dyDescent="0.4">
      <c r="A4" s="169"/>
      <c r="B4" s="169"/>
      <c r="C4" s="169"/>
      <c r="D4" s="181"/>
      <c r="E4" s="181"/>
      <c r="F4" s="184"/>
      <c r="G4" s="184"/>
      <c r="H4" s="184"/>
      <c r="I4" s="1"/>
    </row>
    <row r="5" spans="1:16" s="2" customFormat="1" ht="15" customHeight="1" x14ac:dyDescent="0.4">
      <c r="A5" s="169"/>
      <c r="B5" s="169"/>
      <c r="C5" s="169"/>
      <c r="D5" s="181"/>
      <c r="E5" s="181"/>
      <c r="F5" s="181"/>
      <c r="G5" s="181"/>
      <c r="H5" s="181"/>
    </row>
    <row r="6" spans="1:16" ht="27" customHeight="1" x14ac:dyDescent="0.4">
      <c r="A6" s="173" t="s">
        <v>47</v>
      </c>
      <c r="B6" s="173"/>
      <c r="C6" s="173"/>
      <c r="D6" s="173"/>
      <c r="E6" s="173"/>
      <c r="F6" s="173"/>
      <c r="G6" s="173"/>
      <c r="H6" s="173"/>
    </row>
    <row r="7" spans="1:16" ht="9.75" customHeight="1" thickBot="1" x14ac:dyDescent="0.4">
      <c r="A7" s="170"/>
      <c r="B7" s="170"/>
      <c r="C7" s="170"/>
      <c r="D7" s="170"/>
      <c r="E7" s="170"/>
      <c r="F7" s="170"/>
      <c r="G7" s="170"/>
      <c r="H7" s="170"/>
    </row>
    <row r="8" spans="1:16" ht="25.5" customHeight="1" thickBot="1" x14ac:dyDescent="0.25">
      <c r="A8" s="126" t="s">
        <v>124</v>
      </c>
      <c r="B8" s="127"/>
      <c r="C8" s="127"/>
      <c r="D8" s="127"/>
      <c r="E8" s="127"/>
      <c r="F8" s="127"/>
      <c r="G8" s="127"/>
      <c r="H8" s="128"/>
    </row>
    <row r="9" spans="1:16" ht="17" customHeight="1" x14ac:dyDescent="0.2">
      <c r="A9" s="171" t="s">
        <v>37</v>
      </c>
      <c r="B9" s="172"/>
      <c r="C9" s="185" t="s">
        <v>70</v>
      </c>
      <c r="D9" s="186"/>
      <c r="E9" s="171" t="s">
        <v>48</v>
      </c>
      <c r="F9" s="172"/>
      <c r="G9" s="168" t="s">
        <v>74</v>
      </c>
      <c r="H9" s="152"/>
    </row>
    <row r="10" spans="1:16" ht="17" customHeight="1" x14ac:dyDescent="0.2">
      <c r="A10" s="14" t="s">
        <v>16</v>
      </c>
      <c r="B10" s="15"/>
      <c r="C10" s="185" t="s">
        <v>71</v>
      </c>
      <c r="D10" s="186"/>
      <c r="E10" s="153" t="s">
        <v>35</v>
      </c>
      <c r="F10" s="154"/>
      <c r="G10" s="174" t="s">
        <v>75</v>
      </c>
      <c r="H10" s="175"/>
    </row>
    <row r="11" spans="1:16" ht="17" customHeight="1" x14ac:dyDescent="0.2">
      <c r="A11" s="149" t="s">
        <v>38</v>
      </c>
      <c r="B11" s="150"/>
      <c r="C11" s="185" t="s">
        <v>80</v>
      </c>
      <c r="D11" s="186"/>
      <c r="E11" s="177" t="s">
        <v>1</v>
      </c>
      <c r="F11" s="178"/>
      <c r="G11" s="176">
        <v>45951</v>
      </c>
      <c r="H11" s="152"/>
    </row>
    <row r="12" spans="1:16" ht="17" customHeight="1" x14ac:dyDescent="0.2">
      <c r="A12" s="149" t="s">
        <v>17</v>
      </c>
      <c r="B12" s="150"/>
      <c r="C12" s="140" t="s">
        <v>72</v>
      </c>
      <c r="D12" s="141"/>
      <c r="E12" s="16" t="s">
        <v>41</v>
      </c>
      <c r="F12" s="17"/>
      <c r="G12" s="151">
        <v>0.8125</v>
      </c>
      <c r="H12" s="152"/>
    </row>
    <row r="13" spans="1:16" ht="17" customHeight="1" x14ac:dyDescent="0.2">
      <c r="A13" s="153" t="s">
        <v>3</v>
      </c>
      <c r="B13" s="154"/>
      <c r="C13" s="140" t="s">
        <v>73</v>
      </c>
      <c r="D13" s="141"/>
      <c r="E13" s="16" t="s">
        <v>36</v>
      </c>
      <c r="F13" s="17"/>
      <c r="G13" s="151" t="s">
        <v>76</v>
      </c>
      <c r="H13" s="152"/>
    </row>
    <row r="14" spans="1:16" s="4" customFormat="1" ht="17" customHeight="1" thickBot="1" x14ac:dyDescent="0.25">
      <c r="A14" s="155" t="s">
        <v>2</v>
      </c>
      <c r="B14" s="156"/>
      <c r="C14" s="157" t="s">
        <v>73</v>
      </c>
      <c r="D14" s="158"/>
      <c r="E14" s="18" t="s">
        <v>42</v>
      </c>
      <c r="F14" s="19"/>
      <c r="G14" s="159" t="s">
        <v>49</v>
      </c>
      <c r="H14" s="160"/>
    </row>
    <row r="15" spans="1:16" s="4" customFormat="1" ht="15.75" customHeight="1" thickBot="1" x14ac:dyDescent="0.25">
      <c r="A15" s="161"/>
      <c r="B15" s="161"/>
      <c r="C15" s="161"/>
      <c r="D15" s="161"/>
      <c r="E15" s="161"/>
      <c r="F15" s="161"/>
      <c r="G15" s="161"/>
      <c r="H15" s="161"/>
    </row>
    <row r="16" spans="1:16" ht="24.75" customHeight="1" thickBot="1" x14ac:dyDescent="0.25">
      <c r="A16" s="126" t="s">
        <v>125</v>
      </c>
      <c r="B16" s="127"/>
      <c r="C16" s="127"/>
      <c r="D16" s="127"/>
      <c r="E16" s="127"/>
      <c r="F16" s="127"/>
      <c r="G16" s="127"/>
      <c r="H16" s="128"/>
      <c r="O16" s="5"/>
      <c r="P16" s="6"/>
    </row>
    <row r="17" spans="1:27" ht="17" customHeight="1" x14ac:dyDescent="0.3">
      <c r="A17" s="192" t="s">
        <v>39</v>
      </c>
      <c r="B17" s="193"/>
      <c r="C17" s="206" t="s">
        <v>77</v>
      </c>
      <c r="D17" s="207"/>
      <c r="E17" s="145" t="s">
        <v>40</v>
      </c>
      <c r="F17" s="146"/>
      <c r="G17" s="35"/>
      <c r="H17" s="34" t="s">
        <v>78</v>
      </c>
      <c r="I17" s="4"/>
      <c r="O17" s="5"/>
      <c r="P17" s="6"/>
    </row>
    <row r="18" spans="1:27" ht="17" customHeight="1" thickBot="1" x14ac:dyDescent="0.35">
      <c r="A18" s="162" t="s">
        <v>43</v>
      </c>
      <c r="B18" s="163"/>
      <c r="C18" s="138">
        <v>8</v>
      </c>
      <c r="D18" s="139"/>
      <c r="E18" s="164" t="s">
        <v>128</v>
      </c>
      <c r="F18" s="165"/>
      <c r="G18" s="166" t="s">
        <v>79</v>
      </c>
      <c r="H18" s="167"/>
      <c r="P18" s="6"/>
    </row>
    <row r="19" spans="1:27" ht="10.5" thickBot="1" x14ac:dyDescent="0.25">
      <c r="A19" s="84"/>
      <c r="B19" s="84"/>
      <c r="C19" s="84"/>
      <c r="D19" s="84"/>
      <c r="E19" s="84"/>
      <c r="F19" s="84"/>
      <c r="G19" s="84"/>
      <c r="H19" s="84"/>
      <c r="P19" s="7"/>
    </row>
    <row r="20" spans="1:27" s="10" customFormat="1" ht="25.5" customHeight="1" thickBot="1" x14ac:dyDescent="0.35">
      <c r="A20" s="97" t="s">
        <v>101</v>
      </c>
      <c r="B20" s="98"/>
      <c r="C20" s="98"/>
      <c r="D20" s="98"/>
      <c r="E20" s="98"/>
      <c r="F20" s="98"/>
      <c r="G20" s="98"/>
      <c r="H20" s="99"/>
      <c r="I20" s="37" t="s">
        <v>64</v>
      </c>
      <c r="J20" s="37" t="s">
        <v>65</v>
      </c>
    </row>
    <row r="21" spans="1:27" s="11" customFormat="1" ht="25.5" customHeight="1" thickBot="1" x14ac:dyDescent="0.35">
      <c r="A21" s="100" t="s">
        <v>21</v>
      </c>
      <c r="B21" s="101"/>
      <c r="C21" s="20" t="s">
        <v>20</v>
      </c>
      <c r="D21" s="100" t="s">
        <v>19</v>
      </c>
      <c r="E21" s="101"/>
      <c r="F21" s="100" t="s">
        <v>18</v>
      </c>
      <c r="G21" s="101"/>
      <c r="H21" s="22" t="s">
        <v>22</v>
      </c>
      <c r="I21" s="37"/>
      <c r="J21" s="37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s="11" customFormat="1" ht="17" customHeight="1" x14ac:dyDescent="0.3">
      <c r="A22" s="102" t="s">
        <v>66</v>
      </c>
      <c r="B22" s="103"/>
      <c r="C22" s="23" t="s">
        <v>23</v>
      </c>
      <c r="D22" s="104" t="s">
        <v>23</v>
      </c>
      <c r="E22" s="105"/>
      <c r="F22" s="106" t="s">
        <v>81</v>
      </c>
      <c r="G22" s="107"/>
      <c r="H22" s="31"/>
      <c r="I22" s="37"/>
      <c r="J22" s="37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s="12" customFormat="1" ht="17" customHeight="1" x14ac:dyDescent="0.3">
      <c r="A23" s="72" t="s">
        <v>5</v>
      </c>
      <c r="B23" s="73"/>
      <c r="C23" s="24" t="s">
        <v>23</v>
      </c>
      <c r="D23" s="74" t="s">
        <v>23</v>
      </c>
      <c r="E23" s="75"/>
      <c r="F23" s="108" t="s">
        <v>81</v>
      </c>
      <c r="G23" s="109"/>
      <c r="H23" s="28"/>
      <c r="I23" s="37"/>
      <c r="J23" s="37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s="10" customFormat="1" ht="17" customHeight="1" x14ac:dyDescent="0.35">
      <c r="A24" s="72" t="s">
        <v>86</v>
      </c>
      <c r="B24" s="73"/>
      <c r="C24" s="25">
        <v>1</v>
      </c>
      <c r="D24" s="93">
        <v>0.85</v>
      </c>
      <c r="E24" s="94"/>
      <c r="F24" s="95">
        <f>SUM(100-(J24/I24)*100)</f>
        <v>100</v>
      </c>
      <c r="G24" s="96"/>
      <c r="H24" s="28"/>
      <c r="I24" s="43">
        <v>22</v>
      </c>
      <c r="J24" s="42">
        <v>0</v>
      </c>
    </row>
    <row r="25" spans="1:27" s="10" customFormat="1" ht="17" customHeight="1" x14ac:dyDescent="0.35">
      <c r="A25" s="90" t="s">
        <v>87</v>
      </c>
      <c r="B25" s="73"/>
      <c r="C25" s="25">
        <v>1</v>
      </c>
      <c r="D25" s="93">
        <v>0.85</v>
      </c>
      <c r="E25" s="94"/>
      <c r="F25" s="95">
        <f t="shared" ref="F25" si="0">SUM(100-(J25/I25)*100)</f>
        <v>100</v>
      </c>
      <c r="G25" s="96"/>
      <c r="H25" s="28"/>
      <c r="I25" s="43">
        <v>38</v>
      </c>
      <c r="J25" s="42">
        <v>0</v>
      </c>
    </row>
    <row r="26" spans="1:27" s="10" customFormat="1" ht="17" customHeight="1" x14ac:dyDescent="0.35">
      <c r="A26" s="90" t="s">
        <v>88</v>
      </c>
      <c r="B26" s="73"/>
      <c r="C26" s="25" t="s">
        <v>83</v>
      </c>
      <c r="D26" s="91" t="s">
        <v>84</v>
      </c>
      <c r="E26" s="92"/>
      <c r="F26" s="51" t="s">
        <v>81</v>
      </c>
      <c r="G26" s="52"/>
      <c r="H26" s="28"/>
      <c r="I26" s="37"/>
      <c r="J26" s="37"/>
    </row>
    <row r="27" spans="1:27" s="10" customFormat="1" ht="17" customHeight="1" x14ac:dyDescent="0.3">
      <c r="A27" s="72" t="s">
        <v>6</v>
      </c>
      <c r="B27" s="73"/>
      <c r="C27" s="26" t="s">
        <v>90</v>
      </c>
      <c r="D27" s="74" t="s">
        <v>23</v>
      </c>
      <c r="E27" s="75"/>
      <c r="F27" s="76" t="s">
        <v>49</v>
      </c>
      <c r="G27" s="77"/>
      <c r="H27" s="28"/>
      <c r="I27" s="37"/>
      <c r="J27" s="37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s="10" customFormat="1" ht="17" customHeight="1" x14ac:dyDescent="0.3">
      <c r="A28" s="72" t="s">
        <v>7</v>
      </c>
      <c r="B28" s="73"/>
      <c r="C28" s="27" t="s">
        <v>89</v>
      </c>
      <c r="D28" s="74" t="s">
        <v>23</v>
      </c>
      <c r="E28" s="75"/>
      <c r="F28" s="76" t="s">
        <v>81</v>
      </c>
      <c r="G28" s="77"/>
      <c r="H28" s="28"/>
      <c r="I28" s="37"/>
      <c r="J28" s="37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s="10" customFormat="1" ht="17" customHeight="1" x14ac:dyDescent="0.2">
      <c r="A29" s="72" t="s">
        <v>8</v>
      </c>
      <c r="B29" s="73"/>
      <c r="C29" s="29" t="s">
        <v>91</v>
      </c>
      <c r="D29" s="74" t="s">
        <v>23</v>
      </c>
      <c r="E29" s="75"/>
      <c r="F29" s="76" t="s">
        <v>81</v>
      </c>
      <c r="G29" s="77"/>
      <c r="H29" s="28"/>
      <c r="I29" s="38"/>
      <c r="J29" s="38"/>
    </row>
    <row r="30" spans="1:27" s="10" customFormat="1" ht="17" customHeight="1" x14ac:dyDescent="0.2">
      <c r="A30" s="72" t="s">
        <v>62</v>
      </c>
      <c r="B30" s="73"/>
      <c r="C30" s="29" t="s">
        <v>63</v>
      </c>
      <c r="D30" s="74" t="s">
        <v>92</v>
      </c>
      <c r="E30" s="75"/>
      <c r="F30" s="76" t="s">
        <v>49</v>
      </c>
      <c r="G30" s="77"/>
      <c r="H30" s="28"/>
      <c r="I30" s="38"/>
      <c r="J30" s="38"/>
    </row>
    <row r="31" spans="1:27" s="10" customFormat="1" ht="17" customHeight="1" thickBot="1" x14ac:dyDescent="0.25">
      <c r="A31" s="78" t="s">
        <v>9</v>
      </c>
      <c r="B31" s="79"/>
      <c r="C31" s="30" t="s">
        <v>23</v>
      </c>
      <c r="D31" s="80" t="s">
        <v>23</v>
      </c>
      <c r="E31" s="81"/>
      <c r="F31" s="82" t="s">
        <v>49</v>
      </c>
      <c r="G31" s="83"/>
      <c r="H31" s="53"/>
      <c r="I31" s="38"/>
      <c r="J31" s="38"/>
    </row>
    <row r="32" spans="1:27" ht="14.5" thickBot="1" x14ac:dyDescent="0.35">
      <c r="A32" s="84"/>
      <c r="B32" s="84"/>
      <c r="C32" s="84"/>
      <c r="D32" s="84"/>
      <c r="E32" s="84"/>
      <c r="F32" s="84"/>
      <c r="G32" s="84"/>
      <c r="H32" s="84"/>
      <c r="I32" s="39"/>
      <c r="J32" s="39"/>
    </row>
    <row r="33" spans="1:27" s="10" customFormat="1" ht="25.5" customHeight="1" thickBot="1" x14ac:dyDescent="0.35">
      <c r="A33" s="97" t="s">
        <v>102</v>
      </c>
      <c r="B33" s="98"/>
      <c r="C33" s="98"/>
      <c r="D33" s="98"/>
      <c r="E33" s="98"/>
      <c r="F33" s="98"/>
      <c r="G33" s="98"/>
      <c r="H33" s="99"/>
      <c r="I33" s="37" t="s">
        <v>64</v>
      </c>
      <c r="J33" s="37" t="s">
        <v>65</v>
      </c>
    </row>
    <row r="34" spans="1:27" s="11" customFormat="1" ht="25.5" customHeight="1" thickBot="1" x14ac:dyDescent="0.35">
      <c r="A34" s="100" t="s">
        <v>21</v>
      </c>
      <c r="B34" s="101"/>
      <c r="C34" s="20" t="s">
        <v>20</v>
      </c>
      <c r="D34" s="100" t="s">
        <v>19</v>
      </c>
      <c r="E34" s="101"/>
      <c r="F34" s="100" t="s">
        <v>18</v>
      </c>
      <c r="G34" s="101"/>
      <c r="H34" s="22" t="s">
        <v>22</v>
      </c>
      <c r="I34" s="37"/>
      <c r="J34" s="37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s="11" customFormat="1" ht="17" customHeight="1" x14ac:dyDescent="0.3">
      <c r="A35" s="102" t="s">
        <v>66</v>
      </c>
      <c r="B35" s="103"/>
      <c r="C35" s="23" t="s">
        <v>23</v>
      </c>
      <c r="D35" s="104" t="s">
        <v>23</v>
      </c>
      <c r="E35" s="105"/>
      <c r="F35" s="106" t="s">
        <v>81</v>
      </c>
      <c r="G35" s="107"/>
      <c r="H35" s="31"/>
      <c r="I35" s="37"/>
      <c r="J35" s="37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s="12" customFormat="1" ht="17" customHeight="1" x14ac:dyDescent="0.3">
      <c r="A36" s="72" t="s">
        <v>5</v>
      </c>
      <c r="B36" s="73"/>
      <c r="C36" s="24" t="s">
        <v>23</v>
      </c>
      <c r="D36" s="74" t="s">
        <v>23</v>
      </c>
      <c r="E36" s="75"/>
      <c r="F36" s="108" t="s">
        <v>81</v>
      </c>
      <c r="G36" s="109"/>
      <c r="H36" s="28"/>
      <c r="I36" s="37"/>
      <c r="J36" s="37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s="10" customFormat="1" ht="17" customHeight="1" x14ac:dyDescent="0.35">
      <c r="A37" s="72" t="s">
        <v>44</v>
      </c>
      <c r="B37" s="73"/>
      <c r="C37" s="25">
        <v>1</v>
      </c>
      <c r="D37" s="93">
        <v>0.85</v>
      </c>
      <c r="E37" s="94"/>
      <c r="F37" s="95">
        <f>SUM(100-(J37/I37)*100)</f>
        <v>100</v>
      </c>
      <c r="G37" s="96"/>
      <c r="H37" s="28"/>
      <c r="I37" s="43">
        <v>22</v>
      </c>
      <c r="J37" s="42">
        <v>0</v>
      </c>
    </row>
    <row r="38" spans="1:27" s="10" customFormat="1" ht="17" customHeight="1" x14ac:dyDescent="0.35">
      <c r="A38" s="90" t="s">
        <v>45</v>
      </c>
      <c r="B38" s="73"/>
      <c r="C38" s="25">
        <v>1</v>
      </c>
      <c r="D38" s="93">
        <v>0.85</v>
      </c>
      <c r="E38" s="94"/>
      <c r="F38" s="95">
        <f t="shared" ref="F38:F39" si="1">SUM(100-(J38/I38)*100)</f>
        <v>97.368421052631575</v>
      </c>
      <c r="G38" s="96"/>
      <c r="H38" s="28" t="s">
        <v>85</v>
      </c>
      <c r="I38" s="43">
        <v>38</v>
      </c>
      <c r="J38" s="42">
        <v>1</v>
      </c>
    </row>
    <row r="39" spans="1:27" s="10" customFormat="1" ht="17" customHeight="1" x14ac:dyDescent="0.35">
      <c r="A39" s="90" t="s">
        <v>46</v>
      </c>
      <c r="B39" s="73"/>
      <c r="C39" s="25">
        <v>1</v>
      </c>
      <c r="D39" s="93">
        <v>0.85</v>
      </c>
      <c r="E39" s="94"/>
      <c r="F39" s="95">
        <f t="shared" si="1"/>
        <v>100</v>
      </c>
      <c r="G39" s="96"/>
      <c r="H39" s="28"/>
      <c r="I39" s="43">
        <v>6</v>
      </c>
      <c r="J39" s="42">
        <v>0</v>
      </c>
    </row>
    <row r="40" spans="1:27" s="10" customFormat="1" ht="17" customHeight="1" x14ac:dyDescent="0.35">
      <c r="A40" s="90" t="s">
        <v>82</v>
      </c>
      <c r="B40" s="73"/>
      <c r="C40" s="25" t="s">
        <v>83</v>
      </c>
      <c r="D40" s="91" t="s">
        <v>84</v>
      </c>
      <c r="E40" s="92"/>
      <c r="F40" s="51" t="s">
        <v>81</v>
      </c>
      <c r="G40" s="52"/>
      <c r="H40" s="28"/>
      <c r="I40" s="37"/>
      <c r="J40" s="37"/>
    </row>
    <row r="41" spans="1:27" s="10" customFormat="1" ht="17" customHeight="1" x14ac:dyDescent="0.3">
      <c r="A41" s="72" t="s">
        <v>6</v>
      </c>
      <c r="B41" s="73"/>
      <c r="C41" s="26" t="s">
        <v>90</v>
      </c>
      <c r="D41" s="74" t="s">
        <v>23</v>
      </c>
      <c r="E41" s="75"/>
      <c r="F41" s="76" t="s">
        <v>49</v>
      </c>
      <c r="G41" s="77"/>
      <c r="H41" s="28"/>
      <c r="I41" s="37"/>
      <c r="J41" s="37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s="10" customFormat="1" ht="17" customHeight="1" x14ac:dyDescent="0.3">
      <c r="A42" s="72" t="s">
        <v>7</v>
      </c>
      <c r="B42" s="73"/>
      <c r="C42" s="27" t="s">
        <v>93</v>
      </c>
      <c r="D42" s="74" t="s">
        <v>23</v>
      </c>
      <c r="E42" s="75"/>
      <c r="F42" s="76" t="s">
        <v>81</v>
      </c>
      <c r="G42" s="77"/>
      <c r="H42" s="28"/>
      <c r="I42" s="37"/>
      <c r="J42" s="37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s="10" customFormat="1" ht="17" customHeight="1" x14ac:dyDescent="0.2">
      <c r="A43" s="72" t="s">
        <v>8</v>
      </c>
      <c r="B43" s="73"/>
      <c r="C43" s="29" t="s">
        <v>91</v>
      </c>
      <c r="D43" s="74" t="s">
        <v>23</v>
      </c>
      <c r="E43" s="75"/>
      <c r="F43" s="76" t="s">
        <v>81</v>
      </c>
      <c r="G43" s="77"/>
      <c r="H43" s="28"/>
      <c r="I43" s="38"/>
      <c r="J43" s="38"/>
    </row>
    <row r="44" spans="1:27" s="10" customFormat="1" ht="17" customHeight="1" x14ac:dyDescent="0.2">
      <c r="A44" s="72" t="s">
        <v>62</v>
      </c>
      <c r="B44" s="73"/>
      <c r="C44" s="29" t="s">
        <v>63</v>
      </c>
      <c r="D44" s="74" t="s">
        <v>92</v>
      </c>
      <c r="E44" s="75"/>
      <c r="F44" s="76" t="s">
        <v>49</v>
      </c>
      <c r="G44" s="77"/>
      <c r="H44" s="28"/>
      <c r="I44" s="38"/>
      <c r="J44" s="38"/>
    </row>
    <row r="45" spans="1:27" s="10" customFormat="1" ht="17" customHeight="1" thickBot="1" x14ac:dyDescent="0.25">
      <c r="A45" s="78" t="s">
        <v>9</v>
      </c>
      <c r="B45" s="79"/>
      <c r="C45" s="30" t="s">
        <v>23</v>
      </c>
      <c r="D45" s="80" t="s">
        <v>23</v>
      </c>
      <c r="E45" s="81"/>
      <c r="F45" s="82" t="s">
        <v>49</v>
      </c>
      <c r="G45" s="83"/>
      <c r="H45" s="53"/>
      <c r="I45" s="38"/>
      <c r="J45" s="38"/>
    </row>
    <row r="46" spans="1:27" ht="14.5" thickBot="1" x14ac:dyDescent="0.35">
      <c r="A46" s="84"/>
      <c r="B46" s="84"/>
      <c r="C46" s="84"/>
      <c r="D46" s="84"/>
      <c r="E46" s="84"/>
      <c r="F46" s="84"/>
      <c r="G46" s="84"/>
      <c r="H46" s="84"/>
      <c r="I46" s="39"/>
      <c r="J46" s="39"/>
    </row>
    <row r="47" spans="1:27" ht="26.25" customHeight="1" thickBot="1" x14ac:dyDescent="0.35">
      <c r="A47" s="126" t="s">
        <v>103</v>
      </c>
      <c r="B47" s="127"/>
      <c r="C47" s="127"/>
      <c r="D47" s="127"/>
      <c r="E47" s="127"/>
      <c r="F47" s="127"/>
      <c r="G47" s="127"/>
      <c r="H47" s="128"/>
      <c r="I47" s="40"/>
      <c r="J47" s="41"/>
    </row>
    <row r="48" spans="1:27" ht="28.5" thickBot="1" x14ac:dyDescent="0.35">
      <c r="A48" s="129" t="s">
        <v>21</v>
      </c>
      <c r="B48" s="130"/>
      <c r="C48" s="20" t="s">
        <v>20</v>
      </c>
      <c r="D48" s="129" t="s">
        <v>19</v>
      </c>
      <c r="E48" s="130"/>
      <c r="F48" s="129" t="s">
        <v>18</v>
      </c>
      <c r="G48" s="130"/>
      <c r="H48" s="21" t="s">
        <v>22</v>
      </c>
      <c r="I48" s="41"/>
      <c r="J48" s="41"/>
    </row>
    <row r="49" spans="1:27" s="10" customFormat="1" ht="17" customHeight="1" x14ac:dyDescent="0.3">
      <c r="A49" s="102" t="s">
        <v>5</v>
      </c>
      <c r="B49" s="103"/>
      <c r="C49" s="31" t="s">
        <v>10</v>
      </c>
      <c r="D49" s="131" t="s">
        <v>23</v>
      </c>
      <c r="E49" s="132"/>
      <c r="F49" s="133" t="s">
        <v>81</v>
      </c>
      <c r="G49" s="134"/>
      <c r="H49" s="32"/>
      <c r="I49" s="37"/>
      <c r="J49" s="37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s="10" customFormat="1" ht="17" customHeight="1" x14ac:dyDescent="0.3">
      <c r="A50" s="72" t="s">
        <v>11</v>
      </c>
      <c r="B50" s="117"/>
      <c r="C50" s="28" t="s">
        <v>10</v>
      </c>
      <c r="D50" s="110" t="s">
        <v>23</v>
      </c>
      <c r="E50" s="111"/>
      <c r="F50" s="76" t="s">
        <v>81</v>
      </c>
      <c r="G50" s="77"/>
      <c r="H50" s="33"/>
      <c r="I50" s="37"/>
      <c r="J50" s="37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s="10" customFormat="1" ht="17" customHeight="1" x14ac:dyDescent="0.3">
      <c r="A51" s="72" t="s">
        <v>6</v>
      </c>
      <c r="B51" s="117"/>
      <c r="C51" s="27" t="s">
        <v>53</v>
      </c>
      <c r="D51" s="110" t="s">
        <v>23</v>
      </c>
      <c r="E51" s="111"/>
      <c r="F51" s="76" t="s">
        <v>105</v>
      </c>
      <c r="G51" s="77"/>
      <c r="H51" s="33"/>
      <c r="I51" s="37"/>
      <c r="J51" s="3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s="10" customFormat="1" ht="17" customHeight="1" x14ac:dyDescent="0.3">
      <c r="A52" s="72" t="s">
        <v>7</v>
      </c>
      <c r="B52" s="117"/>
      <c r="C52" s="27" t="s">
        <v>50</v>
      </c>
      <c r="D52" s="110" t="s">
        <v>23</v>
      </c>
      <c r="E52" s="111"/>
      <c r="F52" s="76" t="s">
        <v>81</v>
      </c>
      <c r="G52" s="77"/>
      <c r="H52" s="33"/>
      <c r="I52" s="37"/>
      <c r="J52" s="37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s="10" customFormat="1" ht="17" customHeight="1" x14ac:dyDescent="0.3">
      <c r="A53" s="72" t="s">
        <v>12</v>
      </c>
      <c r="B53" s="117"/>
      <c r="C53" s="28" t="s">
        <v>54</v>
      </c>
      <c r="D53" s="110" t="s">
        <v>98</v>
      </c>
      <c r="E53" s="111"/>
      <c r="F53" s="124">
        <f>SUM((F56+F57)/2)</f>
        <v>3.5149999999999997</v>
      </c>
      <c r="G53" s="125"/>
      <c r="H53" s="33"/>
      <c r="I53" s="37"/>
      <c r="J53" s="37"/>
    </row>
    <row r="54" spans="1:27" s="10" customFormat="1" ht="17" customHeight="1" x14ac:dyDescent="0.3">
      <c r="A54" s="72" t="s">
        <v>121</v>
      </c>
      <c r="B54" s="117"/>
      <c r="C54" s="28" t="s">
        <v>52</v>
      </c>
      <c r="D54" s="110" t="s">
        <v>23</v>
      </c>
      <c r="E54" s="111"/>
      <c r="F54" s="76" t="s">
        <v>81</v>
      </c>
      <c r="G54" s="77"/>
      <c r="H54" s="33"/>
      <c r="I54" s="37"/>
      <c r="J54" s="37"/>
    </row>
    <row r="55" spans="1:27" s="10" customFormat="1" ht="17" customHeight="1" x14ac:dyDescent="0.3">
      <c r="A55" s="72" t="s">
        <v>55</v>
      </c>
      <c r="B55" s="117"/>
      <c r="C55" s="27" t="s">
        <v>51</v>
      </c>
      <c r="D55" s="122" t="s">
        <v>97</v>
      </c>
      <c r="E55" s="123"/>
      <c r="F55" s="120">
        <v>3.02</v>
      </c>
      <c r="G55" s="121"/>
      <c r="H55" s="33"/>
      <c r="I55" s="37"/>
      <c r="J55" s="37"/>
    </row>
    <row r="56" spans="1:27" s="10" customFormat="1" ht="17" customHeight="1" x14ac:dyDescent="0.3">
      <c r="A56" s="72" t="s">
        <v>56</v>
      </c>
      <c r="B56" s="117"/>
      <c r="C56" s="27" t="s">
        <v>94</v>
      </c>
      <c r="D56" s="122" t="s">
        <v>97</v>
      </c>
      <c r="E56" s="123"/>
      <c r="F56" s="120">
        <v>3.3</v>
      </c>
      <c r="G56" s="121"/>
      <c r="H56" s="33"/>
      <c r="I56" s="37"/>
      <c r="J56" s="37"/>
    </row>
    <row r="57" spans="1:27" s="10" customFormat="1" ht="17" customHeight="1" x14ac:dyDescent="0.3">
      <c r="A57" s="72" t="s">
        <v>57</v>
      </c>
      <c r="B57" s="117"/>
      <c r="C57" s="27" t="s">
        <v>95</v>
      </c>
      <c r="D57" s="122" t="s">
        <v>97</v>
      </c>
      <c r="E57" s="123"/>
      <c r="F57" s="120">
        <v>3.73</v>
      </c>
      <c r="G57" s="121"/>
      <c r="H57" s="33"/>
      <c r="I57" s="37"/>
      <c r="J57" s="37"/>
    </row>
    <row r="58" spans="1:27" s="10" customFormat="1" ht="17" customHeight="1" x14ac:dyDescent="0.3">
      <c r="A58" s="72" t="s">
        <v>58</v>
      </c>
      <c r="B58" s="117"/>
      <c r="C58" s="27" t="s">
        <v>96</v>
      </c>
      <c r="D58" s="122" t="s">
        <v>97</v>
      </c>
      <c r="E58" s="123"/>
      <c r="F58" s="120">
        <v>4.07</v>
      </c>
      <c r="G58" s="121"/>
      <c r="H58" s="33"/>
      <c r="I58" s="37"/>
      <c r="J58" s="37"/>
    </row>
    <row r="59" spans="1:27" s="10" customFormat="1" ht="17" customHeight="1" x14ac:dyDescent="0.3">
      <c r="A59" s="72" t="s">
        <v>13</v>
      </c>
      <c r="B59" s="117"/>
      <c r="C59" s="28" t="s">
        <v>61</v>
      </c>
      <c r="D59" s="122" t="s">
        <v>97</v>
      </c>
      <c r="E59" s="123"/>
      <c r="F59" s="120">
        <f>F56-F55</f>
        <v>0.2799999999999998</v>
      </c>
      <c r="G59" s="121"/>
      <c r="H59" s="33"/>
      <c r="I59" s="37"/>
      <c r="J59" s="37"/>
    </row>
    <row r="60" spans="1:27" s="10" customFormat="1" ht="17" customHeight="1" x14ac:dyDescent="0.3">
      <c r="A60" s="72" t="s">
        <v>59</v>
      </c>
      <c r="B60" s="117"/>
      <c r="C60" s="28" t="s">
        <v>61</v>
      </c>
      <c r="D60" s="118" t="s">
        <v>99</v>
      </c>
      <c r="E60" s="119"/>
      <c r="F60" s="120">
        <f t="shared" ref="F60:F61" si="2">F57-F56</f>
        <v>0.43000000000000016</v>
      </c>
      <c r="G60" s="121"/>
      <c r="H60" s="33"/>
      <c r="I60" s="37"/>
      <c r="J60" s="37"/>
    </row>
    <row r="61" spans="1:27" s="10" customFormat="1" ht="17" customHeight="1" x14ac:dyDescent="0.3">
      <c r="A61" s="72" t="s">
        <v>60</v>
      </c>
      <c r="B61" s="117"/>
      <c r="C61" s="28" t="s">
        <v>61</v>
      </c>
      <c r="D61" s="122" t="s">
        <v>97</v>
      </c>
      <c r="E61" s="123"/>
      <c r="F61" s="120">
        <f t="shared" si="2"/>
        <v>0.3400000000000003</v>
      </c>
      <c r="G61" s="121"/>
      <c r="H61" s="33"/>
      <c r="I61" s="37"/>
      <c r="J61" s="37"/>
    </row>
    <row r="62" spans="1:27" s="10" customFormat="1" ht="17" customHeight="1" x14ac:dyDescent="0.3">
      <c r="A62" s="72" t="s">
        <v>8</v>
      </c>
      <c r="B62" s="73"/>
      <c r="C62" s="29" t="s">
        <v>14</v>
      </c>
      <c r="D62" s="110" t="s">
        <v>23</v>
      </c>
      <c r="E62" s="111"/>
      <c r="F62" s="76" t="s">
        <v>81</v>
      </c>
      <c r="G62" s="77"/>
      <c r="H62" s="33"/>
      <c r="I62" s="37"/>
      <c r="J62" s="37"/>
    </row>
    <row r="63" spans="1:27" s="10" customFormat="1" ht="17" customHeight="1" x14ac:dyDescent="0.3">
      <c r="A63" s="72" t="s">
        <v>15</v>
      </c>
      <c r="B63" s="73"/>
      <c r="C63" s="24" t="s">
        <v>100</v>
      </c>
      <c r="D63" s="110" t="s">
        <v>23</v>
      </c>
      <c r="E63" s="111"/>
      <c r="F63" s="76" t="s">
        <v>49</v>
      </c>
      <c r="G63" s="77"/>
      <c r="H63" s="33"/>
      <c r="I63" s="37"/>
      <c r="J63" s="37"/>
    </row>
    <row r="64" spans="1:27" s="10" customFormat="1" ht="17" customHeight="1" x14ac:dyDescent="0.3">
      <c r="A64" s="214" t="s">
        <v>9</v>
      </c>
      <c r="B64" s="215"/>
      <c r="C64" s="47" t="s">
        <v>4</v>
      </c>
      <c r="D64" s="122" t="s">
        <v>23</v>
      </c>
      <c r="E64" s="123"/>
      <c r="F64" s="187" t="s">
        <v>49</v>
      </c>
      <c r="G64" s="188"/>
      <c r="H64" s="46"/>
      <c r="I64" s="37"/>
      <c r="J64" s="37"/>
    </row>
    <row r="65" spans="1:27" s="10" customFormat="1" ht="17" customHeight="1" thickBot="1" x14ac:dyDescent="0.35">
      <c r="A65" s="212" t="s">
        <v>67</v>
      </c>
      <c r="B65" s="212"/>
      <c r="C65" s="54" t="s">
        <v>54</v>
      </c>
      <c r="D65" s="213" t="s">
        <v>68</v>
      </c>
      <c r="E65" s="213"/>
      <c r="F65" s="50" t="s">
        <v>81</v>
      </c>
      <c r="G65" s="49"/>
      <c r="H65" s="48"/>
      <c r="I65" s="37"/>
      <c r="J65" s="37"/>
    </row>
    <row r="66" spans="1:27" s="10" customFormat="1" ht="17" customHeight="1" thickBot="1" x14ac:dyDescent="0.35">
      <c r="A66" s="66"/>
      <c r="B66" s="66"/>
      <c r="C66" s="58"/>
      <c r="D66" s="59"/>
      <c r="E66" s="59"/>
      <c r="F66" s="60"/>
      <c r="G66" s="64"/>
      <c r="H66" s="65"/>
      <c r="I66" s="37"/>
      <c r="J66" s="37"/>
    </row>
    <row r="67" spans="1:27" s="10" customFormat="1" ht="17" customHeight="1" thickBot="1" x14ac:dyDescent="0.35">
      <c r="A67" s="67"/>
      <c r="B67" s="67"/>
      <c r="C67" s="61"/>
      <c r="D67" s="62"/>
      <c r="E67" s="62"/>
      <c r="F67" s="63"/>
      <c r="G67" s="60"/>
      <c r="H67" s="71" t="s">
        <v>129</v>
      </c>
      <c r="I67" s="37"/>
      <c r="J67" s="37"/>
    </row>
    <row r="68" spans="1:27" ht="12.75" customHeight="1" thickBot="1" x14ac:dyDescent="0.35">
      <c r="A68" s="116"/>
      <c r="B68" s="116"/>
      <c r="C68" s="116"/>
      <c r="D68" s="116"/>
      <c r="E68" s="116"/>
      <c r="F68" s="116"/>
      <c r="G68" s="116"/>
      <c r="H68" s="116"/>
      <c r="I68" s="41"/>
      <c r="J68" s="41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s="10" customFormat="1" ht="25.5" customHeight="1" thickBot="1" x14ac:dyDescent="0.35">
      <c r="A69" s="97" t="s">
        <v>104</v>
      </c>
      <c r="B69" s="98"/>
      <c r="C69" s="98"/>
      <c r="D69" s="98"/>
      <c r="E69" s="98"/>
      <c r="F69" s="98"/>
      <c r="G69" s="98"/>
      <c r="H69" s="99"/>
      <c r="I69" s="37" t="s">
        <v>64</v>
      </c>
      <c r="J69" s="37" t="s">
        <v>65</v>
      </c>
    </row>
    <row r="70" spans="1:27" s="11" customFormat="1" ht="25.5" customHeight="1" thickBot="1" x14ac:dyDescent="0.35">
      <c r="A70" s="100" t="s">
        <v>21</v>
      </c>
      <c r="B70" s="101"/>
      <c r="C70" s="20" t="s">
        <v>20</v>
      </c>
      <c r="D70" s="100" t="s">
        <v>19</v>
      </c>
      <c r="E70" s="101"/>
      <c r="F70" s="100" t="s">
        <v>18</v>
      </c>
      <c r="G70" s="101"/>
      <c r="H70" s="22" t="s">
        <v>22</v>
      </c>
      <c r="I70" s="37"/>
      <c r="J70" s="37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s="11" customFormat="1" ht="17" customHeight="1" x14ac:dyDescent="0.3">
      <c r="A71" s="102" t="s">
        <v>66</v>
      </c>
      <c r="B71" s="103"/>
      <c r="C71" s="23" t="s">
        <v>23</v>
      </c>
      <c r="D71" s="104" t="s">
        <v>23</v>
      </c>
      <c r="E71" s="105"/>
      <c r="F71" s="106" t="s">
        <v>81</v>
      </c>
      <c r="G71" s="107"/>
      <c r="H71" s="31"/>
      <c r="I71" s="37"/>
      <c r="J71" s="37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s="12" customFormat="1" ht="17" customHeight="1" x14ac:dyDescent="0.3">
      <c r="A72" s="72" t="s">
        <v>5</v>
      </c>
      <c r="B72" s="73"/>
      <c r="C72" s="24" t="s">
        <v>23</v>
      </c>
      <c r="D72" s="74" t="s">
        <v>23</v>
      </c>
      <c r="E72" s="75"/>
      <c r="F72" s="108" t="s">
        <v>81</v>
      </c>
      <c r="G72" s="109"/>
      <c r="H72" s="28"/>
      <c r="I72" s="37"/>
      <c r="J72" s="37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s="10" customFormat="1" ht="17" customHeight="1" x14ac:dyDescent="0.35">
      <c r="A73" s="72" t="s">
        <v>44</v>
      </c>
      <c r="B73" s="73"/>
      <c r="C73" s="25">
        <v>1</v>
      </c>
      <c r="D73" s="93">
        <v>0.85</v>
      </c>
      <c r="E73" s="94"/>
      <c r="F73" s="95">
        <f>SUM(100-(J73/I73)*100)</f>
        <v>100</v>
      </c>
      <c r="G73" s="96"/>
      <c r="H73" s="28"/>
      <c r="I73" s="43">
        <v>22</v>
      </c>
      <c r="J73" s="42">
        <v>0</v>
      </c>
    </row>
    <row r="74" spans="1:27" s="10" customFormat="1" ht="17" customHeight="1" x14ac:dyDescent="0.35">
      <c r="A74" s="90" t="s">
        <v>45</v>
      </c>
      <c r="B74" s="73"/>
      <c r="C74" s="25">
        <v>1</v>
      </c>
      <c r="D74" s="93">
        <v>0.85</v>
      </c>
      <c r="E74" s="94"/>
      <c r="F74" s="95">
        <f t="shared" ref="F74:F75" si="3">SUM(100-(J74/I74)*100)</f>
        <v>100</v>
      </c>
      <c r="G74" s="96"/>
      <c r="H74" s="28"/>
      <c r="I74" s="43">
        <v>38</v>
      </c>
      <c r="J74" s="42">
        <v>0</v>
      </c>
    </row>
    <row r="75" spans="1:27" s="10" customFormat="1" ht="17" customHeight="1" x14ac:dyDescent="0.35">
      <c r="A75" s="90" t="s">
        <v>46</v>
      </c>
      <c r="B75" s="73"/>
      <c r="C75" s="25">
        <v>1</v>
      </c>
      <c r="D75" s="93">
        <v>0.85</v>
      </c>
      <c r="E75" s="94"/>
      <c r="F75" s="135">
        <f t="shared" si="3"/>
        <v>100</v>
      </c>
      <c r="G75" s="136"/>
      <c r="H75" s="28"/>
      <c r="I75" s="43">
        <v>6</v>
      </c>
      <c r="J75" s="42">
        <v>0</v>
      </c>
    </row>
    <row r="76" spans="1:27" s="10" customFormat="1" ht="17" customHeight="1" x14ac:dyDescent="0.3">
      <c r="A76" s="72" t="s">
        <v>6</v>
      </c>
      <c r="B76" s="73"/>
      <c r="C76" s="26" t="s">
        <v>90</v>
      </c>
      <c r="D76" s="74" t="s">
        <v>23</v>
      </c>
      <c r="E76" s="75"/>
      <c r="F76" s="76" t="s">
        <v>49</v>
      </c>
      <c r="G76" s="77"/>
      <c r="H76" s="28"/>
      <c r="I76" s="37"/>
      <c r="J76" s="37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s="10" customFormat="1" ht="17" customHeight="1" x14ac:dyDescent="0.3">
      <c r="A77" s="72" t="s">
        <v>7</v>
      </c>
      <c r="B77" s="73"/>
      <c r="C77" s="27" t="s">
        <v>93</v>
      </c>
      <c r="D77" s="74" t="s">
        <v>23</v>
      </c>
      <c r="E77" s="75"/>
      <c r="F77" s="76" t="s">
        <v>81</v>
      </c>
      <c r="G77" s="77"/>
      <c r="H77" s="28"/>
      <c r="I77" s="37"/>
      <c r="J77" s="37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s="10" customFormat="1" ht="17" customHeight="1" x14ac:dyDescent="0.2">
      <c r="A78" s="72" t="s">
        <v>8</v>
      </c>
      <c r="B78" s="73"/>
      <c r="C78" s="29" t="s">
        <v>91</v>
      </c>
      <c r="D78" s="74" t="s">
        <v>23</v>
      </c>
      <c r="E78" s="75"/>
      <c r="F78" s="76" t="s">
        <v>81</v>
      </c>
      <c r="G78" s="77"/>
      <c r="H78" s="28"/>
      <c r="I78" s="38"/>
      <c r="J78" s="38"/>
    </row>
    <row r="79" spans="1:27" s="10" customFormat="1" ht="17" customHeight="1" x14ac:dyDescent="0.2">
      <c r="A79" s="72" t="s">
        <v>62</v>
      </c>
      <c r="B79" s="73"/>
      <c r="C79" s="29" t="s">
        <v>63</v>
      </c>
      <c r="D79" s="74" t="s">
        <v>92</v>
      </c>
      <c r="E79" s="75"/>
      <c r="F79" s="76" t="s">
        <v>49</v>
      </c>
      <c r="G79" s="77"/>
      <c r="H79" s="28"/>
      <c r="I79" s="38"/>
      <c r="J79" s="38"/>
    </row>
    <row r="80" spans="1:27" s="10" customFormat="1" ht="17" customHeight="1" thickBot="1" x14ac:dyDescent="0.25">
      <c r="A80" s="78" t="s">
        <v>9</v>
      </c>
      <c r="B80" s="79"/>
      <c r="C80" s="30" t="s">
        <v>23</v>
      </c>
      <c r="D80" s="80" t="s">
        <v>23</v>
      </c>
      <c r="E80" s="81"/>
      <c r="F80" s="82" t="s">
        <v>49</v>
      </c>
      <c r="G80" s="83"/>
      <c r="H80" s="53"/>
      <c r="I80" s="38"/>
      <c r="J80" s="38"/>
    </row>
    <row r="81" spans="1:27" ht="14.5" thickBot="1" x14ac:dyDescent="0.35">
      <c r="A81" s="84"/>
      <c r="B81" s="84"/>
      <c r="C81" s="84"/>
      <c r="D81" s="84"/>
      <c r="E81" s="84"/>
      <c r="F81" s="84"/>
      <c r="G81" s="84"/>
      <c r="H81" s="84"/>
      <c r="I81" s="39"/>
      <c r="J81" s="39"/>
    </row>
    <row r="82" spans="1:27" ht="26.25" customHeight="1" thickBot="1" x14ac:dyDescent="0.35">
      <c r="A82" s="126" t="s">
        <v>106</v>
      </c>
      <c r="B82" s="127"/>
      <c r="C82" s="127"/>
      <c r="D82" s="127"/>
      <c r="E82" s="127"/>
      <c r="F82" s="127"/>
      <c r="G82" s="127"/>
      <c r="H82" s="128"/>
      <c r="I82" s="40"/>
      <c r="J82" s="41"/>
    </row>
    <row r="83" spans="1:27" ht="28.5" thickBot="1" x14ac:dyDescent="0.35">
      <c r="A83" s="129" t="s">
        <v>21</v>
      </c>
      <c r="B83" s="130"/>
      <c r="C83" s="20" t="s">
        <v>20</v>
      </c>
      <c r="D83" s="129" t="s">
        <v>19</v>
      </c>
      <c r="E83" s="130"/>
      <c r="F83" s="129" t="s">
        <v>18</v>
      </c>
      <c r="G83" s="130"/>
      <c r="H83" s="21" t="s">
        <v>22</v>
      </c>
      <c r="I83" s="41"/>
      <c r="J83" s="41"/>
    </row>
    <row r="84" spans="1:27" s="10" customFormat="1" ht="17" customHeight="1" x14ac:dyDescent="0.3">
      <c r="A84" s="102" t="s">
        <v>5</v>
      </c>
      <c r="B84" s="103"/>
      <c r="C84" s="31" t="s">
        <v>10</v>
      </c>
      <c r="D84" s="131" t="s">
        <v>23</v>
      </c>
      <c r="E84" s="132"/>
      <c r="F84" s="133" t="s">
        <v>81</v>
      </c>
      <c r="G84" s="134"/>
      <c r="H84" s="32"/>
      <c r="I84" s="37"/>
      <c r="J84" s="37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s="10" customFormat="1" ht="17" customHeight="1" x14ac:dyDescent="0.3">
      <c r="A85" s="72" t="s">
        <v>11</v>
      </c>
      <c r="B85" s="117"/>
      <c r="C85" s="28" t="s">
        <v>10</v>
      </c>
      <c r="D85" s="110" t="s">
        <v>23</v>
      </c>
      <c r="E85" s="111"/>
      <c r="F85" s="76" t="s">
        <v>81</v>
      </c>
      <c r="G85" s="77"/>
      <c r="H85" s="33"/>
      <c r="I85" s="37"/>
      <c r="J85" s="37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s="10" customFormat="1" ht="17" customHeight="1" x14ac:dyDescent="0.3">
      <c r="A86" s="72" t="s">
        <v>6</v>
      </c>
      <c r="B86" s="117"/>
      <c r="C86" s="27" t="s">
        <v>53</v>
      </c>
      <c r="D86" s="110" t="s">
        <v>23</v>
      </c>
      <c r="E86" s="111"/>
      <c r="F86" s="76" t="s">
        <v>105</v>
      </c>
      <c r="G86" s="77"/>
      <c r="H86" s="33"/>
      <c r="I86" s="37"/>
      <c r="J86" s="37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s="10" customFormat="1" ht="17" customHeight="1" x14ac:dyDescent="0.3">
      <c r="A87" s="72" t="s">
        <v>7</v>
      </c>
      <c r="B87" s="117"/>
      <c r="C87" s="27" t="s">
        <v>107</v>
      </c>
      <c r="D87" s="110" t="s">
        <v>23</v>
      </c>
      <c r="E87" s="111"/>
      <c r="F87" s="76" t="s">
        <v>81</v>
      </c>
      <c r="G87" s="77"/>
      <c r="H87" s="33"/>
      <c r="I87" s="37"/>
      <c r="J87" s="37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s="10" customFormat="1" ht="17" customHeight="1" x14ac:dyDescent="0.3">
      <c r="A88" s="72" t="s">
        <v>12</v>
      </c>
      <c r="B88" s="117"/>
      <c r="C88" s="28" t="s">
        <v>96</v>
      </c>
      <c r="D88" s="110" t="s">
        <v>98</v>
      </c>
      <c r="E88" s="111"/>
      <c r="F88" s="124">
        <f>SUM((F91+F92)/2)</f>
        <v>4.51</v>
      </c>
      <c r="G88" s="125"/>
      <c r="H88" s="33"/>
      <c r="I88" s="37"/>
      <c r="J88" s="37"/>
    </row>
    <row r="89" spans="1:27" s="10" customFormat="1" ht="17" customHeight="1" x14ac:dyDescent="0.3">
      <c r="A89" s="72" t="s">
        <v>121</v>
      </c>
      <c r="B89" s="117"/>
      <c r="C89" s="28" t="s">
        <v>52</v>
      </c>
      <c r="D89" s="110" t="s">
        <v>23</v>
      </c>
      <c r="E89" s="111"/>
      <c r="F89" s="76" t="s">
        <v>119</v>
      </c>
      <c r="G89" s="77"/>
      <c r="H89" s="33"/>
      <c r="I89" s="37"/>
      <c r="J89" s="37"/>
    </row>
    <row r="90" spans="1:27" s="10" customFormat="1" ht="17" customHeight="1" x14ac:dyDescent="0.3">
      <c r="A90" s="72" t="s">
        <v>55</v>
      </c>
      <c r="B90" s="117"/>
      <c r="C90" s="27" t="s">
        <v>96</v>
      </c>
      <c r="D90" s="122" t="s">
        <v>97</v>
      </c>
      <c r="E90" s="123"/>
      <c r="F90" s="120">
        <v>3.95</v>
      </c>
      <c r="G90" s="121"/>
      <c r="H90" s="33"/>
      <c r="I90" s="37"/>
      <c r="J90" s="37"/>
    </row>
    <row r="91" spans="1:27" s="10" customFormat="1" ht="17" customHeight="1" x14ac:dyDescent="0.3">
      <c r="A91" s="72" t="s">
        <v>56</v>
      </c>
      <c r="B91" s="117"/>
      <c r="C91" s="27" t="s">
        <v>108</v>
      </c>
      <c r="D91" s="122" t="s">
        <v>97</v>
      </c>
      <c r="E91" s="123"/>
      <c r="F91" s="120">
        <v>4.34</v>
      </c>
      <c r="G91" s="121"/>
      <c r="H91" s="33"/>
      <c r="I91" s="37"/>
      <c r="J91" s="37"/>
    </row>
    <row r="92" spans="1:27" s="10" customFormat="1" ht="17" customHeight="1" x14ac:dyDescent="0.3">
      <c r="A92" s="72" t="s">
        <v>57</v>
      </c>
      <c r="B92" s="117"/>
      <c r="C92" s="27" t="s">
        <v>109</v>
      </c>
      <c r="D92" s="122" t="s">
        <v>97</v>
      </c>
      <c r="E92" s="123"/>
      <c r="F92" s="120">
        <v>4.68</v>
      </c>
      <c r="G92" s="121"/>
      <c r="H92" s="33"/>
      <c r="I92" s="37"/>
      <c r="J92" s="37"/>
    </row>
    <row r="93" spans="1:27" s="10" customFormat="1" ht="17" customHeight="1" x14ac:dyDescent="0.3">
      <c r="A93" s="72" t="s">
        <v>58</v>
      </c>
      <c r="B93" s="117"/>
      <c r="C93" s="27" t="s">
        <v>110</v>
      </c>
      <c r="D93" s="122" t="s">
        <v>97</v>
      </c>
      <c r="E93" s="123"/>
      <c r="F93" s="120">
        <v>5.08</v>
      </c>
      <c r="G93" s="121"/>
      <c r="H93" s="33"/>
      <c r="I93" s="37"/>
      <c r="J93" s="37"/>
    </row>
    <row r="94" spans="1:27" s="10" customFormat="1" ht="17" customHeight="1" x14ac:dyDescent="0.3">
      <c r="A94" s="72" t="s">
        <v>13</v>
      </c>
      <c r="B94" s="117"/>
      <c r="C94" s="28" t="s">
        <v>61</v>
      </c>
      <c r="D94" s="122" t="s">
        <v>97</v>
      </c>
      <c r="E94" s="123"/>
      <c r="F94" s="120">
        <f>F91-F90</f>
        <v>0.38999999999999968</v>
      </c>
      <c r="G94" s="121"/>
      <c r="H94" s="33"/>
      <c r="I94" s="37"/>
      <c r="J94" s="37"/>
    </row>
    <row r="95" spans="1:27" s="10" customFormat="1" ht="17" customHeight="1" x14ac:dyDescent="0.3">
      <c r="A95" s="72" t="s">
        <v>59</v>
      </c>
      <c r="B95" s="117"/>
      <c r="C95" s="28" t="s">
        <v>61</v>
      </c>
      <c r="D95" s="118" t="s">
        <v>99</v>
      </c>
      <c r="E95" s="119"/>
      <c r="F95" s="120">
        <f t="shared" ref="F95:F96" si="4">F92-F91</f>
        <v>0.33999999999999986</v>
      </c>
      <c r="G95" s="121"/>
      <c r="H95" s="33"/>
      <c r="I95" s="37"/>
      <c r="J95" s="37"/>
    </row>
    <row r="96" spans="1:27" s="10" customFormat="1" ht="17" customHeight="1" x14ac:dyDescent="0.3">
      <c r="A96" s="72" t="s">
        <v>60</v>
      </c>
      <c r="B96" s="117"/>
      <c r="C96" s="28" t="s">
        <v>61</v>
      </c>
      <c r="D96" s="122" t="s">
        <v>97</v>
      </c>
      <c r="E96" s="123"/>
      <c r="F96" s="120">
        <f t="shared" si="4"/>
        <v>0.40000000000000036</v>
      </c>
      <c r="G96" s="121"/>
      <c r="H96" s="33"/>
      <c r="I96" s="37"/>
      <c r="J96" s="37"/>
    </row>
    <row r="97" spans="1:27" s="10" customFormat="1" ht="17" customHeight="1" x14ac:dyDescent="0.3">
      <c r="A97" s="72" t="s">
        <v>8</v>
      </c>
      <c r="B97" s="73"/>
      <c r="C97" s="29" t="s">
        <v>14</v>
      </c>
      <c r="D97" s="110" t="s">
        <v>23</v>
      </c>
      <c r="E97" s="111"/>
      <c r="F97" s="76" t="s">
        <v>81</v>
      </c>
      <c r="G97" s="77"/>
      <c r="H97" s="33"/>
      <c r="I97" s="37"/>
      <c r="J97" s="37"/>
    </row>
    <row r="98" spans="1:27" s="10" customFormat="1" ht="17" customHeight="1" x14ac:dyDescent="0.3">
      <c r="A98" s="72" t="s">
        <v>15</v>
      </c>
      <c r="B98" s="73"/>
      <c r="C98" s="24" t="s">
        <v>4</v>
      </c>
      <c r="D98" s="110" t="s">
        <v>23</v>
      </c>
      <c r="E98" s="111"/>
      <c r="F98" s="76" t="s">
        <v>49</v>
      </c>
      <c r="G98" s="77"/>
      <c r="H98" s="33"/>
      <c r="I98" s="37"/>
      <c r="J98" s="37"/>
    </row>
    <row r="99" spans="1:27" s="10" customFormat="1" ht="17" customHeight="1" thickBot="1" x14ac:dyDescent="0.35">
      <c r="A99" s="78" t="s">
        <v>9</v>
      </c>
      <c r="B99" s="79"/>
      <c r="C99" s="55" t="s">
        <v>4</v>
      </c>
      <c r="D99" s="112" t="s">
        <v>23</v>
      </c>
      <c r="E99" s="113"/>
      <c r="F99" s="114" t="s">
        <v>49</v>
      </c>
      <c r="G99" s="115"/>
      <c r="H99" s="56"/>
      <c r="I99" s="37"/>
      <c r="J99" s="37"/>
    </row>
    <row r="100" spans="1:27" ht="12.75" customHeight="1" thickBot="1" x14ac:dyDescent="0.35">
      <c r="A100" s="116"/>
      <c r="B100" s="116"/>
      <c r="C100" s="116"/>
      <c r="D100" s="116"/>
      <c r="E100" s="116"/>
      <c r="F100" s="116"/>
      <c r="G100" s="116"/>
      <c r="H100" s="116"/>
      <c r="I100" s="41"/>
      <c r="J100" s="41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25.5" customHeight="1" thickBot="1" x14ac:dyDescent="0.35">
      <c r="A101" s="126" t="s">
        <v>126</v>
      </c>
      <c r="B101" s="127"/>
      <c r="C101" s="127"/>
      <c r="D101" s="127"/>
      <c r="E101" s="127"/>
      <c r="F101" s="127"/>
      <c r="G101" s="127"/>
      <c r="H101" s="128"/>
      <c r="I101" s="36"/>
      <c r="J101" s="36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24.75" customHeight="1" thickBot="1" x14ac:dyDescent="0.25">
      <c r="A102" s="129" t="s">
        <v>24</v>
      </c>
      <c r="B102" s="130"/>
      <c r="C102" s="20" t="s">
        <v>25</v>
      </c>
      <c r="D102" s="129" t="s">
        <v>26</v>
      </c>
      <c r="E102" s="205"/>
      <c r="F102" s="130"/>
      <c r="G102" s="129" t="s">
        <v>27</v>
      </c>
      <c r="H102" s="13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7" customHeight="1" x14ac:dyDescent="0.3">
      <c r="A103" s="200" t="s">
        <v>111</v>
      </c>
      <c r="B103" s="201"/>
      <c r="C103" s="68" t="s">
        <v>116</v>
      </c>
      <c r="D103" s="202" t="s">
        <v>117</v>
      </c>
      <c r="E103" s="203"/>
      <c r="F103" s="204"/>
      <c r="G103" s="147" t="s">
        <v>118</v>
      </c>
      <c r="H103" s="148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7" customHeight="1" x14ac:dyDescent="0.3">
      <c r="A104" s="85" t="s">
        <v>112</v>
      </c>
      <c r="B104" s="86"/>
      <c r="C104" s="69" t="s">
        <v>116</v>
      </c>
      <c r="D104" s="87" t="s">
        <v>117</v>
      </c>
      <c r="E104" s="88"/>
      <c r="F104" s="89"/>
      <c r="G104" s="45"/>
      <c r="H104" s="57" t="s">
        <v>118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7" customHeight="1" x14ac:dyDescent="0.3">
      <c r="A105" s="85" t="s">
        <v>113</v>
      </c>
      <c r="B105" s="86"/>
      <c r="C105" s="69" t="s">
        <v>116</v>
      </c>
      <c r="D105" s="87" t="s">
        <v>117</v>
      </c>
      <c r="E105" s="88"/>
      <c r="F105" s="89"/>
      <c r="G105" s="45"/>
      <c r="H105" s="57" t="s">
        <v>118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7" customHeight="1" x14ac:dyDescent="0.3">
      <c r="A106" s="85" t="s">
        <v>114</v>
      </c>
      <c r="B106" s="86"/>
      <c r="C106" s="69" t="s">
        <v>116</v>
      </c>
      <c r="D106" s="87" t="s">
        <v>117</v>
      </c>
      <c r="E106" s="88"/>
      <c r="F106" s="89"/>
      <c r="G106" s="45"/>
      <c r="H106" s="57" t="s">
        <v>118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7" customHeight="1" thickBot="1" x14ac:dyDescent="0.35">
      <c r="A107" s="208" t="s">
        <v>115</v>
      </c>
      <c r="B107" s="209"/>
      <c r="C107" s="70" t="s">
        <v>116</v>
      </c>
      <c r="D107" s="87" t="s">
        <v>117</v>
      </c>
      <c r="E107" s="210"/>
      <c r="F107" s="211"/>
      <c r="G107" s="87" t="s">
        <v>120</v>
      </c>
      <c r="H107" s="211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s="8" customFormat="1" ht="13.5" thickBot="1" x14ac:dyDescent="0.25">
      <c r="A108" s="13"/>
      <c r="B108" s="13"/>
      <c r="C108" s="13"/>
      <c r="D108" s="13"/>
      <c r="E108" s="13"/>
      <c r="F108" s="13"/>
      <c r="G108" s="13"/>
      <c r="H108" s="1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s="8" customFormat="1" ht="25.5" customHeight="1" thickBot="1" x14ac:dyDescent="0.25">
      <c r="A109" s="126" t="s">
        <v>127</v>
      </c>
      <c r="B109" s="127"/>
      <c r="C109" s="127"/>
      <c r="D109" s="127"/>
      <c r="E109" s="127"/>
      <c r="F109" s="127"/>
      <c r="G109" s="127"/>
      <c r="H109" s="128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55.5" customHeight="1" thickBot="1" x14ac:dyDescent="0.25">
      <c r="A110" s="142" t="s">
        <v>122</v>
      </c>
      <c r="B110" s="143"/>
      <c r="C110" s="143"/>
      <c r="D110" s="143"/>
      <c r="E110" s="143"/>
      <c r="F110" s="143"/>
      <c r="G110" s="143"/>
      <c r="H110" s="144"/>
    </row>
    <row r="111" spans="1:27" ht="32.25" customHeight="1" thickBot="1" x14ac:dyDescent="0.25">
      <c r="A111" s="194" t="s">
        <v>28</v>
      </c>
      <c r="B111" s="195"/>
      <c r="C111" s="216" t="s">
        <v>73</v>
      </c>
      <c r="D111" s="197"/>
      <c r="E111" s="194" t="s">
        <v>29</v>
      </c>
      <c r="F111" s="198"/>
      <c r="G111" s="196"/>
      <c r="H111" s="197"/>
    </row>
    <row r="112" spans="1:27" ht="12.75" customHeight="1" x14ac:dyDescent="0.2">
      <c r="A112" s="199"/>
      <c r="B112" s="199"/>
      <c r="C112" s="199"/>
      <c r="D112" s="199"/>
      <c r="E112" s="199"/>
      <c r="F112" s="199"/>
      <c r="G112" s="199"/>
      <c r="H112" s="199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8" ht="14.15" customHeight="1" x14ac:dyDescent="0.2">
      <c r="B113" s="137" t="e" vm="2">
        <v>#VALUE!</v>
      </c>
      <c r="C113" s="189" t="s">
        <v>30</v>
      </c>
      <c r="D113" s="189"/>
    </row>
    <row r="114" spans="1:8" ht="14.15" customHeight="1" x14ac:dyDescent="0.25">
      <c r="A114" s="9"/>
      <c r="B114" s="137"/>
      <c r="C114" s="190" t="s">
        <v>31</v>
      </c>
      <c r="D114" s="190"/>
    </row>
    <row r="115" spans="1:8" ht="14.15" customHeight="1" x14ac:dyDescent="0.25">
      <c r="A115" s="9"/>
      <c r="B115" s="137"/>
      <c r="C115" s="190" t="s">
        <v>32</v>
      </c>
      <c r="D115" s="190"/>
    </row>
    <row r="116" spans="1:8" ht="14.15" customHeight="1" thickBot="1" x14ac:dyDescent="0.3">
      <c r="A116" s="9"/>
      <c r="B116" s="137"/>
      <c r="C116" s="190" t="s">
        <v>33</v>
      </c>
      <c r="D116" s="190"/>
    </row>
    <row r="117" spans="1:8" ht="27.5" customHeight="1" thickBot="1" x14ac:dyDescent="0.3">
      <c r="A117" s="9"/>
      <c r="B117" s="137"/>
      <c r="C117" s="191" t="s">
        <v>34</v>
      </c>
      <c r="D117" s="191"/>
      <c r="H117" s="71" t="s">
        <v>123</v>
      </c>
    </row>
    <row r="124" spans="1:8" ht="12.5" x14ac:dyDescent="0.25">
      <c r="A124" s="9"/>
    </row>
  </sheetData>
  <mergeCells count="281">
    <mergeCell ref="A39:B39"/>
    <mergeCell ref="D39:E39"/>
    <mergeCell ref="F39:G39"/>
    <mergeCell ref="A107:B107"/>
    <mergeCell ref="D107:F107"/>
    <mergeCell ref="G107:H107"/>
    <mergeCell ref="A44:B44"/>
    <mergeCell ref="D44:E44"/>
    <mergeCell ref="F44:G44"/>
    <mergeCell ref="A65:B65"/>
    <mergeCell ref="D65:E65"/>
    <mergeCell ref="A59:B59"/>
    <mergeCell ref="A60:B60"/>
    <mergeCell ref="A61:B61"/>
    <mergeCell ref="A62:B62"/>
    <mergeCell ref="A63:B63"/>
    <mergeCell ref="A64:B64"/>
    <mergeCell ref="A56:B56"/>
    <mergeCell ref="D56:E56"/>
    <mergeCell ref="F56:G56"/>
    <mergeCell ref="A57:B57"/>
    <mergeCell ref="A58:B58"/>
    <mergeCell ref="D57:E57"/>
    <mergeCell ref="D58:E58"/>
    <mergeCell ref="C113:D113"/>
    <mergeCell ref="C114:D114"/>
    <mergeCell ref="C115:D115"/>
    <mergeCell ref="C116:D116"/>
    <mergeCell ref="C117:D117"/>
    <mergeCell ref="A17:B17"/>
    <mergeCell ref="A68:H68"/>
    <mergeCell ref="A111:B111"/>
    <mergeCell ref="C111:D111"/>
    <mergeCell ref="E111:F111"/>
    <mergeCell ref="G111:H111"/>
    <mergeCell ref="A112:H112"/>
    <mergeCell ref="A103:B103"/>
    <mergeCell ref="D103:F103"/>
    <mergeCell ref="A46:H46"/>
    <mergeCell ref="A101:H101"/>
    <mergeCell ref="A102:B102"/>
    <mergeCell ref="G102:H102"/>
    <mergeCell ref="D102:F102"/>
    <mergeCell ref="F59:G59"/>
    <mergeCell ref="F60:G60"/>
    <mergeCell ref="F61:G61"/>
    <mergeCell ref="C17:D17"/>
    <mergeCell ref="F38:G38"/>
    <mergeCell ref="F57:G57"/>
    <mergeCell ref="F58:G58"/>
    <mergeCell ref="F62:G62"/>
    <mergeCell ref="F63:G63"/>
    <mergeCell ref="F64:G64"/>
    <mergeCell ref="D59:E59"/>
    <mergeCell ref="D60:E60"/>
    <mergeCell ref="D61:E61"/>
    <mergeCell ref="D62:E62"/>
    <mergeCell ref="D63:E63"/>
    <mergeCell ref="D64:E64"/>
    <mergeCell ref="F54:G54"/>
    <mergeCell ref="A55:B55"/>
    <mergeCell ref="D55:E55"/>
    <mergeCell ref="F55:G55"/>
    <mergeCell ref="A52:B52"/>
    <mergeCell ref="D52:E52"/>
    <mergeCell ref="F52:G52"/>
    <mergeCell ref="A53:B53"/>
    <mergeCell ref="D53:E53"/>
    <mergeCell ref="F53:G53"/>
    <mergeCell ref="E10:F10"/>
    <mergeCell ref="G9:H9"/>
    <mergeCell ref="A1:C5"/>
    <mergeCell ref="A8:H8"/>
    <mergeCell ref="A7:H7"/>
    <mergeCell ref="A9:B9"/>
    <mergeCell ref="A11:B11"/>
    <mergeCell ref="A6:H6"/>
    <mergeCell ref="G10:H10"/>
    <mergeCell ref="G11:H11"/>
    <mergeCell ref="E11:F11"/>
    <mergeCell ref="F3:G3"/>
    <mergeCell ref="D1:E5"/>
    <mergeCell ref="F1:H2"/>
    <mergeCell ref="F4:H5"/>
    <mergeCell ref="E9:F9"/>
    <mergeCell ref="C9:D9"/>
    <mergeCell ref="C10:D10"/>
    <mergeCell ref="C11:D11"/>
    <mergeCell ref="C18:D18"/>
    <mergeCell ref="C12:D12"/>
    <mergeCell ref="C13:D13"/>
    <mergeCell ref="A34:B34"/>
    <mergeCell ref="A109:H109"/>
    <mergeCell ref="A110:H110"/>
    <mergeCell ref="E17:F17"/>
    <mergeCell ref="G103:H103"/>
    <mergeCell ref="A16:H16"/>
    <mergeCell ref="A12:B12"/>
    <mergeCell ref="G12:H12"/>
    <mergeCell ref="A13:B13"/>
    <mergeCell ref="G13:H13"/>
    <mergeCell ref="A14:B14"/>
    <mergeCell ref="C14:D14"/>
    <mergeCell ref="G14:H14"/>
    <mergeCell ref="A15:H15"/>
    <mergeCell ref="A33:H33"/>
    <mergeCell ref="A18:B18"/>
    <mergeCell ref="E18:F18"/>
    <mergeCell ref="G18:H18"/>
    <mergeCell ref="F45:G45"/>
    <mergeCell ref="F36:G36"/>
    <mergeCell ref="A41:B41"/>
    <mergeCell ref="A38:B38"/>
    <mergeCell ref="D38:E38"/>
    <mergeCell ref="B113:B117"/>
    <mergeCell ref="A19:H19"/>
    <mergeCell ref="D34:E34"/>
    <mergeCell ref="F34:G34"/>
    <mergeCell ref="F35:G35"/>
    <mergeCell ref="D35:E35"/>
    <mergeCell ref="A35:B35"/>
    <mergeCell ref="F37:G37"/>
    <mergeCell ref="F41:G41"/>
    <mergeCell ref="F42:G42"/>
    <mergeCell ref="F43:G43"/>
    <mergeCell ref="A45:B45"/>
    <mergeCell ref="D36:E36"/>
    <mergeCell ref="D37:E37"/>
    <mergeCell ref="D41:E41"/>
    <mergeCell ref="D42:E42"/>
    <mergeCell ref="D43:E43"/>
    <mergeCell ref="D45:E45"/>
    <mergeCell ref="A36:B36"/>
    <mergeCell ref="A37:B37"/>
    <mergeCell ref="A42:B42"/>
    <mergeCell ref="A43:B43"/>
    <mergeCell ref="A40:B40"/>
    <mergeCell ref="D40:E40"/>
    <mergeCell ref="A69:H69"/>
    <mergeCell ref="A70:B70"/>
    <mergeCell ref="D70:E70"/>
    <mergeCell ref="F70:G70"/>
    <mergeCell ref="A71:B71"/>
    <mergeCell ref="D71:E71"/>
    <mergeCell ref="F71:G71"/>
    <mergeCell ref="A50:B50"/>
    <mergeCell ref="D50:E50"/>
    <mergeCell ref="F50:G50"/>
    <mergeCell ref="A51:B51"/>
    <mergeCell ref="D51:E51"/>
    <mergeCell ref="F51:G51"/>
    <mergeCell ref="A47:H47"/>
    <mergeCell ref="A48:B48"/>
    <mergeCell ref="D48:E48"/>
    <mergeCell ref="F48:G48"/>
    <mergeCell ref="A49:B49"/>
    <mergeCell ref="D49:E49"/>
    <mergeCell ref="F49:G49"/>
    <mergeCell ref="A54:B54"/>
    <mergeCell ref="D54:E54"/>
    <mergeCell ref="A72:B72"/>
    <mergeCell ref="D72:E72"/>
    <mergeCell ref="F72:G72"/>
    <mergeCell ref="A73:B73"/>
    <mergeCell ref="D73:E73"/>
    <mergeCell ref="F73:G73"/>
    <mergeCell ref="A74:B74"/>
    <mergeCell ref="D74:E74"/>
    <mergeCell ref="F74:G74"/>
    <mergeCell ref="A75:B75"/>
    <mergeCell ref="D75:E75"/>
    <mergeCell ref="F75:G75"/>
    <mergeCell ref="A76:B76"/>
    <mergeCell ref="D76:E76"/>
    <mergeCell ref="F76:G76"/>
    <mergeCell ref="A77:B77"/>
    <mergeCell ref="D77:E77"/>
    <mergeCell ref="F77:G77"/>
    <mergeCell ref="A78:B78"/>
    <mergeCell ref="D78:E78"/>
    <mergeCell ref="F78:G78"/>
    <mergeCell ref="A79:B79"/>
    <mergeCell ref="D79:E79"/>
    <mergeCell ref="F79:G79"/>
    <mergeCell ref="A80:B80"/>
    <mergeCell ref="D80:E80"/>
    <mergeCell ref="F80:G80"/>
    <mergeCell ref="A81:H81"/>
    <mergeCell ref="A82:H82"/>
    <mergeCell ref="A83:B83"/>
    <mergeCell ref="D83:E83"/>
    <mergeCell ref="F83:G83"/>
    <mergeCell ref="A84:B84"/>
    <mergeCell ref="D84:E84"/>
    <mergeCell ref="F84:G84"/>
    <mergeCell ref="A85:B85"/>
    <mergeCell ref="D85:E85"/>
    <mergeCell ref="F85:G85"/>
    <mergeCell ref="A86:B86"/>
    <mergeCell ref="D86:E86"/>
    <mergeCell ref="F86:G86"/>
    <mergeCell ref="A87:B87"/>
    <mergeCell ref="D87:E87"/>
    <mergeCell ref="F87:G87"/>
    <mergeCell ref="A88:B88"/>
    <mergeCell ref="D88:E88"/>
    <mergeCell ref="F88:G88"/>
    <mergeCell ref="A89:B89"/>
    <mergeCell ref="D89:E89"/>
    <mergeCell ref="F89:G89"/>
    <mergeCell ref="A90:B90"/>
    <mergeCell ref="D90:E90"/>
    <mergeCell ref="F90:G90"/>
    <mergeCell ref="A91:B91"/>
    <mergeCell ref="D91:E91"/>
    <mergeCell ref="F91:G91"/>
    <mergeCell ref="D96:E96"/>
    <mergeCell ref="F96:G96"/>
    <mergeCell ref="A97:B97"/>
    <mergeCell ref="D97:E97"/>
    <mergeCell ref="F97:G97"/>
    <mergeCell ref="A92:B92"/>
    <mergeCell ref="D92:E92"/>
    <mergeCell ref="F92:G92"/>
    <mergeCell ref="A93:B93"/>
    <mergeCell ref="D93:E93"/>
    <mergeCell ref="F93:G93"/>
    <mergeCell ref="A94:B94"/>
    <mergeCell ref="D94:E94"/>
    <mergeCell ref="F94:G94"/>
    <mergeCell ref="A24:B24"/>
    <mergeCell ref="D24:E24"/>
    <mergeCell ref="F24:G24"/>
    <mergeCell ref="A25:B25"/>
    <mergeCell ref="D25:E25"/>
    <mergeCell ref="F25:G25"/>
    <mergeCell ref="A20:H20"/>
    <mergeCell ref="A21:B21"/>
    <mergeCell ref="D21:E21"/>
    <mergeCell ref="F21:G21"/>
    <mergeCell ref="A22:B22"/>
    <mergeCell ref="D22:E22"/>
    <mergeCell ref="F22:G22"/>
    <mergeCell ref="A23:B23"/>
    <mergeCell ref="D23:E23"/>
    <mergeCell ref="F23:G23"/>
    <mergeCell ref="A26:B26"/>
    <mergeCell ref="D26:E26"/>
    <mergeCell ref="A27:B27"/>
    <mergeCell ref="D27:E27"/>
    <mergeCell ref="F27:G27"/>
    <mergeCell ref="A28:B28"/>
    <mergeCell ref="D28:E28"/>
    <mergeCell ref="F28:G28"/>
    <mergeCell ref="A29:B29"/>
    <mergeCell ref="D29:E29"/>
    <mergeCell ref="F29:G29"/>
    <mergeCell ref="A30:B30"/>
    <mergeCell ref="D30:E30"/>
    <mergeCell ref="F30:G30"/>
    <mergeCell ref="A31:B31"/>
    <mergeCell ref="D31:E31"/>
    <mergeCell ref="F31:G31"/>
    <mergeCell ref="A32:H32"/>
    <mergeCell ref="A105:B105"/>
    <mergeCell ref="A106:B106"/>
    <mergeCell ref="D104:F104"/>
    <mergeCell ref="D105:F105"/>
    <mergeCell ref="D106:F106"/>
    <mergeCell ref="A104:B104"/>
    <mergeCell ref="A98:B98"/>
    <mergeCell ref="D98:E98"/>
    <mergeCell ref="F98:G98"/>
    <mergeCell ref="A99:B99"/>
    <mergeCell ref="D99:E99"/>
    <mergeCell ref="F99:G99"/>
    <mergeCell ref="A100:H100"/>
    <mergeCell ref="A95:B95"/>
    <mergeCell ref="D95:E95"/>
    <mergeCell ref="F95:G95"/>
    <mergeCell ref="A96:B96"/>
  </mergeCells>
  <phoneticPr fontId="18" type="noConversion"/>
  <pageMargins left="0.7" right="0.7" top="0.75" bottom="0.75" header="0.3" footer="0.3"/>
  <pageSetup paperSize="9" scale="59" fitToHeight="0" orientation="portrait" r:id="rId1"/>
  <rowBreaks count="1" manualBreakCount="1">
    <brk id="67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Sheet1</vt:lpstr>
      <vt:lpstr>Sheet1!Oblasť_tlače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</dc:creator>
  <cp:lastModifiedBy>Jaroslav Šulc</cp:lastModifiedBy>
  <cp:lastPrinted>2025-10-30T15:15:58Z</cp:lastPrinted>
  <dcterms:created xsi:type="dcterms:W3CDTF">2015-06-05T18:17:20Z</dcterms:created>
  <dcterms:modified xsi:type="dcterms:W3CDTF">2025-10-30T15:16:32Z</dcterms:modified>
</cp:coreProperties>
</file>