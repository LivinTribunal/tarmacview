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tokoly 2024\"/>
    </mc:Choice>
  </mc:AlternateContent>
  <bookViews>
    <workbookView xWindow="0" yWindow="0" windowWidth="15330" windowHeight="7590"/>
  </bookViews>
  <sheets>
    <sheet name="LZIB" sheetId="1" r:id="rId1"/>
    <sheet name="CAT I. RWY 22" sheetId="4" r:id="rId2"/>
    <sheet name="NPA RWY 04" sheetId="7" r:id="rId3"/>
    <sheet name="CAT III. RWY 31" sheetId="5" r:id="rId4"/>
    <sheet name="NPA RWY 13" sheetId="6" r:id="rId5"/>
  </sheets>
  <definedNames>
    <definedName name="_xlnm.Print_Area" localSheetId="1">'CAT I. RWY 22'!$A$1:$K$60</definedName>
    <definedName name="_xlnm.Print_Area" localSheetId="0">LZIB!$A$1:$I$131</definedName>
    <definedName name="_xlnm.Print_Area" localSheetId="2">'NPA RWY 04'!$A$1:$K$40</definedName>
  </definedNames>
  <calcPr calcId="162913"/>
</workbook>
</file>

<file path=xl/calcChain.xml><?xml version="1.0" encoding="utf-8"?>
<calcChain xmlns="http://schemas.openxmlformats.org/spreadsheetml/2006/main">
  <c r="D14" i="6" l="1"/>
  <c r="D14" i="7" l="1"/>
  <c r="D13" i="7"/>
  <c r="D12" i="7"/>
  <c r="D12" i="6"/>
  <c r="D13" i="6"/>
  <c r="D15" i="6"/>
  <c r="D18" i="5" l="1"/>
  <c r="D17" i="5"/>
  <c r="D16" i="5"/>
  <c r="D15" i="5"/>
  <c r="D14" i="5"/>
  <c r="H13" i="5"/>
  <c r="D13" i="5"/>
  <c r="H12" i="5"/>
  <c r="D12" i="5"/>
  <c r="D16" i="4"/>
  <c r="D15" i="4"/>
  <c r="D14" i="4"/>
  <c r="D13" i="4"/>
  <c r="D12" i="4"/>
  <c r="F22" i="1" l="1"/>
  <c r="F23" i="1"/>
  <c r="F24" i="1"/>
  <c r="F26" i="1"/>
  <c r="F25" i="1"/>
  <c r="F21" i="1"/>
  <c r="F20" i="1"/>
  <c r="F19" i="1"/>
  <c r="F16" i="1"/>
  <c r="F127" i="1" l="1"/>
  <c r="F128" i="1" s="1"/>
  <c r="G121" i="1"/>
  <c r="G120" i="1"/>
  <c r="G119" i="1"/>
  <c r="F113" i="1"/>
  <c r="A107" i="1"/>
  <c r="A60" i="1" l="1"/>
  <c r="F95" i="1"/>
  <c r="G101" i="1"/>
  <c r="G102" i="1"/>
  <c r="G103" i="1"/>
</calcChain>
</file>

<file path=xl/sharedStrings.xml><?xml version="1.0" encoding="utf-8"?>
<sst xmlns="http://schemas.openxmlformats.org/spreadsheetml/2006/main" count="547" uniqueCount="150">
  <si>
    <t>Dohľadnosť:</t>
  </si>
  <si>
    <t>Kalibračné lietadlo:</t>
  </si>
  <si>
    <t>L-410 OM-SYI</t>
  </si>
  <si>
    <t>Základňa oblačnosti:</t>
  </si>
  <si>
    <t>Palubný merací systém:</t>
  </si>
  <si>
    <t>Vietor:</t>
  </si>
  <si>
    <t>Referenčný systém:</t>
  </si>
  <si>
    <t>Teplota:</t>
  </si>
  <si>
    <t>Piloti letovej kalibrácie:</t>
  </si>
  <si>
    <t>QNH:</t>
  </si>
  <si>
    <t>Terén:</t>
  </si>
  <si>
    <t>Systém</t>
  </si>
  <si>
    <t>Prevádzkovateľ</t>
  </si>
  <si>
    <t>Poznámka</t>
  </si>
  <si>
    <t>LZIB</t>
  </si>
  <si>
    <t>PAPI 31</t>
  </si>
  <si>
    <t>Parameter</t>
  </si>
  <si>
    <t>Nominálna hodnota</t>
  </si>
  <si>
    <t>Tolerancie</t>
  </si>
  <si>
    <t>Hodnotenie</t>
  </si>
  <si>
    <t>Konfigurácia</t>
  </si>
  <si>
    <t>-</t>
  </si>
  <si>
    <t>Vyhovuje</t>
  </si>
  <si>
    <t xml:space="preserve">Chromatičnosť </t>
  </si>
  <si>
    <t>Svietivosť</t>
  </si>
  <si>
    <t>Krytie v horizontálnej rovine</t>
  </si>
  <si>
    <t>± 10°/10NM</t>
  </si>
  <si>
    <t>Krytie vo vertikálnej rovine</t>
  </si>
  <si>
    <t>Tlmenie</t>
  </si>
  <si>
    <t>Zábleskový rad</t>
  </si>
  <si>
    <t>120/min</t>
  </si>
  <si>
    <t>±30 zábl.</t>
  </si>
  <si>
    <t>Náhradný zdroj</t>
  </si>
  <si>
    <t>bezo zmeny</t>
  </si>
  <si>
    <t>1 sec.</t>
  </si>
  <si>
    <t>Klamlivé svetlá</t>
  </si>
  <si>
    <t>L-14</t>
  </si>
  <si>
    <t>15 sec.</t>
  </si>
  <si>
    <t>Zostupový uhol</t>
  </si>
  <si>
    <t>3,00°</t>
  </si>
  <si>
    <t>± 0,15°</t>
  </si>
  <si>
    <t>Uhol zmeny farby návestidiel</t>
  </si>
  <si>
    <t>0,05°</t>
  </si>
  <si>
    <t>Prechodové uhly návestidiel</t>
  </si>
  <si>
    <t>± 0,10°</t>
  </si>
  <si>
    <t>Uhly medzi návestidlami</t>
  </si>
  <si>
    <t>1. - 2.</t>
  </si>
  <si>
    <t>0,33° ± 0,1°</t>
  </si>
  <si>
    <t>2. - 3.</t>
  </si>
  <si>
    <t>3. - 4.</t>
  </si>
  <si>
    <t>Zosúladenie so zostupovou rovinou ILS</t>
  </si>
  <si>
    <t>Komentár:</t>
  </si>
  <si>
    <t xml:space="preserve">Pilot letovej kalibrácie:     </t>
  </si>
  <si>
    <t>6/6</t>
  </si>
  <si>
    <t>Údaje o posádke, lietadle a podmienkach letového merania.</t>
  </si>
  <si>
    <t>Dátum letového merania:</t>
  </si>
  <si>
    <t>Druh letového merania:</t>
  </si>
  <si>
    <t>Detailné výsledky letového merania.</t>
  </si>
  <si>
    <t>Pravidelné letové meranie (PLM)</t>
  </si>
  <si>
    <t>ALS 31</t>
  </si>
  <si>
    <t>Vyhovuje,± 15° od osi RWY</t>
  </si>
  <si>
    <t>Vyhovuje,± 10° od osi RWY</t>
  </si>
  <si>
    <t>AD-AFIS-115</t>
  </si>
  <si>
    <t>SBAS, Teodolit</t>
  </si>
  <si>
    <t>Žiadne</t>
  </si>
  <si>
    <t>1,93° - 6,5°</t>
  </si>
  <si>
    <t>Zodpovedné osoby:</t>
  </si>
  <si>
    <t>EU-ADR</t>
  </si>
  <si>
    <t>360°/10NM</t>
  </si>
  <si>
    <t>0-16.5°</t>
  </si>
  <si>
    <t>0-12°</t>
  </si>
  <si>
    <t>0-15°</t>
  </si>
  <si>
    <t>3/3</t>
  </si>
  <si>
    <t>± 10°/15km</t>
  </si>
  <si>
    <t>suchý</t>
  </si>
  <si>
    <t>PAPI 22</t>
  </si>
  <si>
    <t>ALS 22</t>
  </si>
  <si>
    <t>120 zábl. min</t>
  </si>
  <si>
    <t>(ILS GP 3,08°)</t>
  </si>
  <si>
    <t>360°/5NM</t>
  </si>
  <si>
    <t>Čas letového merania.</t>
  </si>
  <si>
    <t>Číslo letu</t>
  </si>
  <si>
    <t>Dátum</t>
  </si>
  <si>
    <t>Trať letu</t>
  </si>
  <si>
    <t>Začiatok             (UTC)</t>
  </si>
  <si>
    <t>Koniec (UTC)</t>
  </si>
  <si>
    <t>Čas letu</t>
  </si>
  <si>
    <t xml:space="preserve">  </t>
  </si>
  <si>
    <t>LZIB - LZIB</t>
  </si>
  <si>
    <t>SPOLU:</t>
  </si>
  <si>
    <t>CAVOK</t>
  </si>
  <si>
    <t>Vyhodnotenie</t>
  </si>
  <si>
    <t>Vizuálne prostriedky SZZ</t>
  </si>
  <si>
    <r>
      <t>Vyhovuje</t>
    </r>
    <r>
      <rPr>
        <sz val="8"/>
        <rFont val="Times New Roman"/>
        <family val="1"/>
        <charset val="238"/>
      </rPr>
      <t xml:space="preserve"> predpísaným požiadavkám EU-ADR a ICAO Annex 14/I </t>
    </r>
  </si>
  <si>
    <t>Subsystémy</t>
  </si>
  <si>
    <t>Letisko</t>
  </si>
  <si>
    <t>LIH/LIM</t>
  </si>
  <si>
    <t>RLS 31</t>
  </si>
  <si>
    <t>RLS 22</t>
  </si>
  <si>
    <t>RLS 13</t>
  </si>
  <si>
    <t>RLS 04</t>
  </si>
  <si>
    <r>
      <t>Vyhovuje</t>
    </r>
    <r>
      <rPr>
        <sz val="8"/>
        <rFont val="Times New Roman"/>
        <family val="1"/>
        <charset val="238"/>
      </rPr>
      <t xml:space="preserve"> predpísaným požiadavkám EU-ADR a ICAO Annex 14/I pre CAT III.</t>
    </r>
  </si>
  <si>
    <t>CAT III; LIH/LIM</t>
  </si>
  <si>
    <t>CAT I; LIH/LIM</t>
  </si>
  <si>
    <r>
      <t>Vyhovuje</t>
    </r>
    <r>
      <rPr>
        <sz val="8"/>
        <rFont val="Times New Roman"/>
        <family val="1"/>
        <charset val="238"/>
      </rPr>
      <t xml:space="preserve"> predpísaným požiadavkám EU-ADR a ICAO Annex 14/I pre CAT I.</t>
    </r>
  </si>
  <si>
    <t>Airport Bratislava, a. s. (BTS)</t>
  </si>
  <si>
    <t xml:space="preserve">Špecialista letovej kalibrácie:     </t>
  </si>
  <si>
    <t>Odporúčania:</t>
  </si>
  <si>
    <t>Letovo meraný systém a jeho subsystémy:</t>
  </si>
  <si>
    <t>Špecialisti letovej kalibrácie:</t>
  </si>
  <si>
    <t>PRÍLOHA K PROTOKOLU Z LETOVÉHO MERANIA SZZ</t>
  </si>
  <si>
    <t>Identifikácia svetelných návestidiel, pri ktorých je vysoká pravdepodobnosť, že môžu byť neprevádzkyschopné podľa AMC1 ADR.OPS.C.015 alebo Annex 14/I ods. 10.4.1</t>
  </si>
  <si>
    <t>RWY:</t>
  </si>
  <si>
    <t>Kategória SZZ:</t>
  </si>
  <si>
    <t>CAT I.</t>
  </si>
  <si>
    <t>Prevádzkyschopnosť svetelných sústav je definovaná podľa CS ADR-DSN.S.895 Serviceability levels alebo Annex 14/I ods. 10.4.10</t>
  </si>
  <si>
    <t>Tolerancia</t>
  </si>
  <si>
    <t>ALS HI</t>
  </si>
  <si>
    <t>ALS MI</t>
  </si>
  <si>
    <t>THR LGT</t>
  </si>
  <si>
    <t>CL LGT</t>
  </si>
  <si>
    <t>EDGE LGT</t>
  </si>
  <si>
    <t>END LGT</t>
  </si>
  <si>
    <t>Počet návestidiel</t>
  </si>
  <si>
    <t>Nález</t>
  </si>
  <si>
    <t>NS</t>
  </si>
  <si>
    <t>Poznámka:</t>
  </si>
  <si>
    <t xml:space="preserve">NS - nižšia svietivosť, NF - nefunkčné, F - chromatičnosť (filter)                                       </t>
  </si>
  <si>
    <t>Prevádzkyschopnosť svetelných sústav je definovaná podľa CS ADR-DSN.S.895 Serviceability levels alebo Annex 14/I ods. 10.4.1</t>
  </si>
  <si>
    <t>Outer ALS</t>
  </si>
  <si>
    <t>TDZ LGT</t>
  </si>
  <si>
    <t>Inner ALS HI</t>
  </si>
  <si>
    <t>Inner ALS MI</t>
  </si>
  <si>
    <t>Outher ALS HI</t>
  </si>
  <si>
    <t>Outher ALS MI</t>
  </si>
  <si>
    <t>odporúčaná 85%</t>
  </si>
  <si>
    <t>NPA RWY</t>
  </si>
  <si>
    <t>04</t>
  </si>
  <si>
    <t>13</t>
  </si>
  <si>
    <t>CAT III.</t>
  </si>
  <si>
    <t>SRH-red</t>
  </si>
  <si>
    <t>1xNF</t>
  </si>
  <si>
    <t>Ing.Šulc, Ing. Mikulík</t>
  </si>
  <si>
    <t>PROTOKOL Z LETOVÉHO MERANIA SZZ 03/2024</t>
  </si>
  <si>
    <t>Ing. Česnek, Ing. Kováčik</t>
  </si>
  <si>
    <t>120/6kt</t>
  </si>
  <si>
    <t xml:space="preserve">PAPI 22: Počas PLM boli dostavené prechodové uhly návestididla č.2.                                                                                                                                            Z dôvodu ustanovení nariadenia (EU) č. 139/2014 - ADR, najmä ustanovenia CS-ADR-DSN.M640, doporučujeme doplnenie zariadení PAPI na RWY LIM 13 tak, aby boli splnené podmienky pre použitie RWY uvedené v spomenutom nariadení.                                                                                                                                                                        Svetelné návestidlá s nižšou intenzitou svietivosti sú identifikované v prílohe tohto protokolu a v priloženej fotodokumentácii.                                                                                                                                                                   </t>
  </si>
  <si>
    <t>(ILS GP 3,00°)</t>
  </si>
  <si>
    <t>03/2024</t>
  </si>
  <si>
    <t>1xNS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</si>
</sst>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/mmmm\ yyyy"/>
    <numFmt numFmtId="165" formatCode="0.0\°"/>
    <numFmt numFmtId="166" formatCode="0&quot; NM&quot;"/>
    <numFmt numFmtId="167" formatCode="0.0\%"/>
    <numFmt numFmtId="168" formatCode="0&quot; m&quot;"/>
    <numFmt numFmtId="169" formatCode="0\°"/>
    <numFmt numFmtId="170" formatCode="0.00\°"/>
  </numFmts>
  <fonts count="48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Times New Roman"/>
      <family val="1"/>
      <charset val="238"/>
    </font>
    <font>
      <b/>
      <sz val="16"/>
      <name val="Times New Roman"/>
      <family val="1"/>
      <charset val="238"/>
    </font>
    <font>
      <b/>
      <sz val="12"/>
      <name val="Times New Roman CE"/>
      <family val="1"/>
      <charset val="238"/>
    </font>
    <font>
      <b/>
      <i/>
      <sz val="8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8"/>
      <name val="Times New Roman"/>
      <family val="1"/>
      <charset val="238"/>
    </font>
    <font>
      <i/>
      <sz val="8"/>
      <name val="Times New Roman"/>
      <family val="1"/>
      <charset val="238"/>
    </font>
    <font>
      <i/>
      <sz val="9"/>
      <name val="Times New Roman"/>
      <family val="1"/>
      <charset val="238"/>
    </font>
    <font>
      <sz val="9"/>
      <name val="Times New Roman"/>
      <family val="1"/>
      <charset val="238"/>
    </font>
    <font>
      <sz val="10"/>
      <color indexed="63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  <charset val="238"/>
    </font>
    <font>
      <sz val="10"/>
      <color indexed="63"/>
      <name val="Times New Roman"/>
      <family val="1"/>
      <charset val="238"/>
    </font>
    <font>
      <sz val="8"/>
      <color indexed="63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sz val="10"/>
      <name val="Times New Roman"/>
      <family val="1"/>
      <charset val="238"/>
    </font>
    <font>
      <b/>
      <sz val="8"/>
      <color indexed="63"/>
      <name val="Times New Roman"/>
      <family val="1"/>
    </font>
    <font>
      <b/>
      <sz val="12"/>
      <name val="Times New Roman"/>
      <family val="1"/>
      <charset val="238"/>
    </font>
    <font>
      <b/>
      <sz val="10"/>
      <name val="Times New Roman"/>
      <family val="1"/>
    </font>
    <font>
      <sz val="10"/>
      <color indexed="10"/>
      <name val="Times New Roman"/>
      <family val="1"/>
    </font>
    <font>
      <sz val="8"/>
      <name val="Tahoma"/>
      <family val="2"/>
      <charset val="238"/>
    </font>
    <font>
      <sz val="12"/>
      <name val="Times New Roman CE"/>
      <charset val="238"/>
    </font>
    <font>
      <sz val="10"/>
      <color theme="1"/>
      <name val="Times New Roman"/>
      <family val="1"/>
    </font>
    <font>
      <sz val="10"/>
      <name val="Arial CE"/>
      <family val="2"/>
      <charset val="238"/>
    </font>
    <font>
      <sz val="8"/>
      <name val="Arial CE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Times New Roman"/>
      <family val="1"/>
      <charset val="238"/>
    </font>
    <font>
      <sz val="10"/>
      <name val="Arial CE"/>
      <charset val="238"/>
    </font>
    <font>
      <b/>
      <sz val="8"/>
      <name val="Times New Roman"/>
      <family val="1"/>
    </font>
    <font>
      <sz val="7"/>
      <name val="Times New Roman"/>
      <family val="1"/>
      <charset val="238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sz val="9"/>
      <name val="Times New Roman CE"/>
      <charset val="238"/>
    </font>
    <font>
      <b/>
      <sz val="12"/>
      <color theme="1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9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6337778862885"/>
        <bgColor indexed="64"/>
      </patternFill>
    </fill>
  </fills>
  <borders count="1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499984740745262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thin">
        <color rgb="FFFFC000"/>
      </bottom>
      <diagonal/>
    </border>
    <border>
      <left style="medium">
        <color rgb="FFFFC000"/>
      </left>
      <right style="medium">
        <color rgb="FFFFC000"/>
      </right>
      <top style="thin">
        <color rgb="FFFFC000"/>
      </top>
      <bottom style="thin">
        <color rgb="FFFFC000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C000"/>
      </left>
      <right style="medium">
        <color rgb="FFFFC000"/>
      </right>
      <top style="thin">
        <color rgb="FFFFC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n">
        <color rgb="FF00B050"/>
      </right>
      <top style="thick">
        <color rgb="FF00B050"/>
      </top>
      <bottom style="thick">
        <color rgb="FF00B050"/>
      </bottom>
      <diagonal/>
    </border>
    <border>
      <left/>
      <right style="thin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rgb="FF00B050"/>
      </left>
      <right style="thin">
        <color rgb="FF00B050"/>
      </right>
      <top style="thick">
        <color rgb="FF00B050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theme="0" tint="-0.499984740745262"/>
      </right>
      <top style="double">
        <color theme="6" tint="-0.499984740745262"/>
      </top>
      <bottom style="double">
        <color theme="6" tint="-0.499984740745262"/>
      </bottom>
      <diagonal/>
    </border>
    <border>
      <left style="thick">
        <color theme="0" tint="-0.499984740745262"/>
      </left>
      <right style="medium">
        <color auto="1"/>
      </right>
      <top style="double">
        <color theme="6" tint="-0.499984740745262"/>
      </top>
      <bottom style="double">
        <color theme="6" tint="-0.49998474074526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2" fillId="0" borderId="0"/>
    <xf numFmtId="0" fontId="36" fillId="0" borderId="0"/>
    <xf numFmtId="0" fontId="5" fillId="0" borderId="0"/>
    <xf numFmtId="0" fontId="4" fillId="0" borderId="0"/>
  </cellStyleXfs>
  <cellXfs count="412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3" xfId="0" applyFont="1" applyBorder="1"/>
    <xf numFmtId="0" fontId="6" fillId="0" borderId="1" xfId="0" applyFont="1" applyBorder="1"/>
    <xf numFmtId="0" fontId="6" fillId="0" borderId="4" xfId="0" applyFont="1" applyBorder="1" applyAlignment="1">
      <alignment horizontal="right"/>
    </xf>
    <xf numFmtId="0" fontId="6" fillId="0" borderId="2" xfId="0" applyFont="1" applyBorder="1"/>
    <xf numFmtId="0" fontId="10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top"/>
    </xf>
    <xf numFmtId="0" fontId="11" fillId="0" borderId="5" xfId="0" applyFont="1" applyBorder="1" applyAlignment="1">
      <alignment horizontal="center" vertical="center" wrapText="1"/>
    </xf>
    <xf numFmtId="0" fontId="10" fillId="0" borderId="6" xfId="0" applyNumberFormat="1" applyFont="1" applyBorder="1" applyAlignment="1">
      <alignment horizontal="center" vertical="top" wrapText="1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3" xfId="0" applyNumberFormat="1" applyFont="1" applyBorder="1" applyAlignment="1">
      <alignment horizontal="center" vertical="top" wrapText="1"/>
    </xf>
    <xf numFmtId="166" fontId="11" fillId="0" borderId="3" xfId="0" applyNumberFormat="1" applyFont="1" applyBorder="1" applyAlignment="1">
      <alignment horizontal="center"/>
    </xf>
    <xf numFmtId="0" fontId="11" fillId="0" borderId="3" xfId="0" applyFont="1" applyBorder="1"/>
    <xf numFmtId="168" fontId="16" fillId="0" borderId="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1" fillId="0" borderId="7" xfId="0" applyFont="1" applyBorder="1"/>
    <xf numFmtId="0" fontId="19" fillId="0" borderId="6" xfId="0" applyFont="1" applyBorder="1" applyAlignment="1">
      <alignment horizontal="center"/>
    </xf>
    <xf numFmtId="0" fontId="6" fillId="0" borderId="0" xfId="0" applyFont="1" applyBorder="1"/>
    <xf numFmtId="0" fontId="6" fillId="0" borderId="5" xfId="0" applyFont="1" applyBorder="1"/>
    <xf numFmtId="0" fontId="9" fillId="0" borderId="3" xfId="0" applyFont="1" applyBorder="1"/>
    <xf numFmtId="170" fontId="14" fillId="0" borderId="6" xfId="0" applyNumberFormat="1" applyFont="1" applyBorder="1" applyAlignment="1">
      <alignment horizontal="center"/>
    </xf>
    <xf numFmtId="170" fontId="13" fillId="0" borderId="2" xfId="0" applyNumberFormat="1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9" fillId="0" borderId="7" xfId="0" applyFont="1" applyBorder="1"/>
    <xf numFmtId="0" fontId="24" fillId="0" borderId="5" xfId="0" applyFont="1" applyBorder="1" applyAlignment="1">
      <alignment horizontal="center"/>
    </xf>
    <xf numFmtId="0" fontId="23" fillId="0" borderId="1" xfId="0" applyFont="1" applyBorder="1"/>
    <xf numFmtId="0" fontId="26" fillId="0" borderId="1" xfId="0" applyFont="1" applyBorder="1" applyAlignment="1">
      <alignment horizontal="right" vertical="center"/>
    </xf>
    <xf numFmtId="0" fontId="26" fillId="0" borderId="4" xfId="0" applyFont="1" applyBorder="1" applyAlignment="1">
      <alignment horizontal="right" vertical="center"/>
    </xf>
    <xf numFmtId="0" fontId="26" fillId="0" borderId="2" xfId="0" applyFont="1" applyBorder="1" applyAlignment="1">
      <alignment horizontal="right" vertical="center"/>
    </xf>
    <xf numFmtId="0" fontId="26" fillId="0" borderId="1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8" xfId="0" applyFont="1" applyBorder="1" applyAlignment="1">
      <alignment horizontal="right" vertical="center"/>
    </xf>
    <xf numFmtId="0" fontId="26" fillId="0" borderId="9" xfId="0" applyFont="1" applyBorder="1" applyAlignment="1">
      <alignment horizontal="right" vertical="center"/>
    </xf>
    <xf numFmtId="0" fontId="26" fillId="0" borderId="10" xfId="0" applyFont="1" applyBorder="1" applyAlignment="1">
      <alignment horizontal="right" vertical="center"/>
    </xf>
    <xf numFmtId="0" fontId="26" fillId="0" borderId="8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165" fontId="21" fillId="0" borderId="5" xfId="0" applyNumberFormat="1" applyFont="1" applyBorder="1" applyAlignment="1">
      <alignment horizontal="center"/>
    </xf>
    <xf numFmtId="0" fontId="27" fillId="0" borderId="3" xfId="0" applyNumberFormat="1" applyFont="1" applyBorder="1" applyAlignment="1">
      <alignment horizontal="center" vertical="top" wrapText="1"/>
    </xf>
    <xf numFmtId="166" fontId="10" fillId="0" borderId="3" xfId="0" applyNumberFormat="1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29" fillId="0" borderId="0" xfId="0" applyFont="1"/>
    <xf numFmtId="0" fontId="14" fillId="0" borderId="6" xfId="0" applyFont="1" applyFill="1" applyBorder="1" applyAlignment="1">
      <alignment horizontal="center"/>
    </xf>
    <xf numFmtId="0" fontId="21" fillId="0" borderId="5" xfId="0" applyFont="1" applyFill="1" applyBorder="1" applyAlignment="1">
      <alignment horizontal="center"/>
    </xf>
    <xf numFmtId="0" fontId="8" fillId="0" borderId="0" xfId="0" quotePrefix="1" applyFont="1"/>
    <xf numFmtId="0" fontId="8" fillId="0" borderId="0" xfId="0" applyFont="1" applyAlignment="1">
      <alignment horizontal="right"/>
    </xf>
    <xf numFmtId="49" fontId="8" fillId="0" borderId="0" xfId="0" applyNumberFormat="1" applyFont="1" applyAlignment="1">
      <alignment horizontal="left"/>
    </xf>
    <xf numFmtId="0" fontId="30" fillId="0" borderId="0" xfId="0" applyFont="1" applyAlignment="1"/>
    <xf numFmtId="0" fontId="31" fillId="0" borderId="5" xfId="0" applyFont="1" applyFill="1" applyBorder="1" applyAlignment="1">
      <alignment horizontal="center"/>
    </xf>
    <xf numFmtId="0" fontId="6" fillId="0" borderId="5" xfId="0" applyFont="1" applyFill="1" applyBorder="1"/>
    <xf numFmtId="0" fontId="21" fillId="0" borderId="5" xfId="0" applyFont="1" applyBorder="1" applyAlignment="1">
      <alignment horizontal="center"/>
    </xf>
    <xf numFmtId="0" fontId="6" fillId="0" borderId="18" xfId="0" applyFont="1" applyBorder="1"/>
    <xf numFmtId="168" fontId="6" fillId="0" borderId="11" xfId="0" applyNumberFormat="1" applyFont="1" applyBorder="1" applyAlignment="1">
      <alignment horizontal="centerContinuous" vertical="center"/>
    </xf>
    <xf numFmtId="0" fontId="6" fillId="0" borderId="11" xfId="0" applyFont="1" applyBorder="1" applyAlignment="1">
      <alignment horizontal="centerContinuous" vertical="center"/>
    </xf>
    <xf numFmtId="0" fontId="33" fillId="0" borderId="0" xfId="0" applyFont="1" applyBorder="1"/>
    <xf numFmtId="0" fontId="7" fillId="0" borderId="0" xfId="0" quotePrefix="1" applyFont="1"/>
    <xf numFmtId="0" fontId="24" fillId="0" borderId="0" xfId="0" applyFont="1" applyAlignment="1">
      <alignment horizontal="right"/>
    </xf>
    <xf numFmtId="0" fontId="34" fillId="0" borderId="5" xfId="0" applyFont="1" applyBorder="1" applyAlignment="1">
      <alignment horizontal="center"/>
    </xf>
    <xf numFmtId="167" fontId="21" fillId="0" borderId="5" xfId="0" applyNumberFormat="1" applyFont="1" applyFill="1" applyBorder="1" applyAlignment="1">
      <alignment horizontal="center"/>
    </xf>
    <xf numFmtId="49" fontId="21" fillId="0" borderId="5" xfId="0" applyNumberFormat="1" applyFont="1" applyFill="1" applyBorder="1" applyAlignment="1">
      <alignment horizontal="center"/>
    </xf>
    <xf numFmtId="169" fontId="21" fillId="0" borderId="5" xfId="0" applyNumberFormat="1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167" fontId="14" fillId="0" borderId="5" xfId="0" applyNumberFormat="1" applyFont="1" applyFill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14" fillId="0" borderId="5" xfId="0" applyFont="1" applyFill="1" applyBorder="1" applyAlignment="1">
      <alignment horizontal="center"/>
    </xf>
    <xf numFmtId="169" fontId="14" fillId="0" borderId="5" xfId="0" applyNumberFormat="1" applyFont="1" applyFill="1" applyBorder="1" applyAlignment="1">
      <alignment horizontal="center"/>
    </xf>
    <xf numFmtId="169" fontId="14" fillId="0" borderId="6" xfId="0" applyNumberFormat="1" applyFont="1" applyFill="1" applyBorder="1" applyAlignment="1">
      <alignment horizontal="center"/>
    </xf>
    <xf numFmtId="167" fontId="35" fillId="0" borderId="5" xfId="0" applyNumberFormat="1" applyFont="1" applyFill="1" applyBorder="1" applyAlignment="1">
      <alignment horizontal="center"/>
    </xf>
    <xf numFmtId="0" fontId="9" fillId="0" borderId="3" xfId="0" applyFont="1" applyFill="1" applyBorder="1"/>
    <xf numFmtId="0" fontId="35" fillId="0" borderId="6" xfId="0" applyFont="1" applyFill="1" applyBorder="1" applyAlignment="1">
      <alignment horizontal="center"/>
    </xf>
    <xf numFmtId="0" fontId="11" fillId="0" borderId="3" xfId="0" applyFont="1" applyFill="1" applyBorder="1"/>
    <xf numFmtId="0" fontId="19" fillId="0" borderId="7" xfId="0" applyFont="1" applyFill="1" applyBorder="1" applyAlignment="1">
      <alignment horizontal="center"/>
    </xf>
    <xf numFmtId="0" fontId="10" fillId="0" borderId="6" xfId="0" applyNumberFormat="1" applyFont="1" applyFill="1" applyBorder="1" applyAlignment="1">
      <alignment horizontal="center" vertical="top" wrapText="1"/>
    </xf>
    <xf numFmtId="165" fontId="21" fillId="0" borderId="5" xfId="0" applyNumberFormat="1" applyFont="1" applyFill="1" applyBorder="1" applyAlignment="1">
      <alignment horizontal="center"/>
    </xf>
    <xf numFmtId="0" fontId="10" fillId="0" borderId="3" xfId="0" applyNumberFormat="1" applyFont="1" applyFill="1" applyBorder="1" applyAlignment="1">
      <alignment horizontal="center" vertical="top" wrapText="1"/>
    </xf>
    <xf numFmtId="165" fontId="21" fillId="0" borderId="7" xfId="0" applyNumberFormat="1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top" wrapText="1"/>
    </xf>
    <xf numFmtId="0" fontId="14" fillId="0" borderId="29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165" fontId="21" fillId="0" borderId="28" xfId="0" applyNumberFormat="1" applyFont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6" fillId="0" borderId="26" xfId="0" applyFont="1" applyBorder="1"/>
    <xf numFmtId="0" fontId="15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167" fontId="21" fillId="0" borderId="28" xfId="0" applyNumberFormat="1" applyFont="1" applyFill="1" applyBorder="1" applyAlignment="1">
      <alignment horizontal="center"/>
    </xf>
    <xf numFmtId="0" fontId="21" fillId="0" borderId="28" xfId="0" applyFont="1" applyFill="1" applyBorder="1" applyAlignment="1">
      <alignment horizontal="center"/>
    </xf>
    <xf numFmtId="0" fontId="34" fillId="0" borderId="28" xfId="0" applyFont="1" applyBorder="1" applyAlignment="1">
      <alignment horizontal="center"/>
    </xf>
    <xf numFmtId="49" fontId="21" fillId="0" borderId="28" xfId="0" applyNumberFormat="1" applyFont="1" applyFill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31" fillId="0" borderId="28" xfId="0" applyFont="1" applyFill="1" applyBorder="1" applyAlignment="1">
      <alignment horizontal="center"/>
    </xf>
    <xf numFmtId="169" fontId="21" fillId="0" borderId="28" xfId="0" applyNumberFormat="1" applyFont="1" applyFill="1" applyBorder="1" applyAlignment="1">
      <alignment horizontal="center"/>
    </xf>
    <xf numFmtId="0" fontId="21" fillId="0" borderId="27" xfId="0" applyFont="1" applyFill="1" applyBorder="1" applyAlignment="1">
      <alignment horizontal="center"/>
    </xf>
    <xf numFmtId="0" fontId="11" fillId="0" borderId="30" xfId="0" applyFont="1" applyBorder="1"/>
    <xf numFmtId="165" fontId="21" fillId="0" borderId="30" xfId="0" applyNumberFormat="1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167" fontId="14" fillId="0" borderId="28" xfId="0" applyNumberFormat="1" applyFont="1" applyFill="1" applyBorder="1" applyAlignment="1">
      <alignment horizontal="center"/>
    </xf>
    <xf numFmtId="167" fontId="35" fillId="0" borderId="28" xfId="0" applyNumberFormat="1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49" fontId="14" fillId="0" borderId="28" xfId="0" applyNumberFormat="1" applyFont="1" applyFill="1" applyBorder="1" applyAlignment="1">
      <alignment horizontal="center"/>
    </xf>
    <xf numFmtId="168" fontId="16" fillId="0" borderId="28" xfId="0" applyNumberFormat="1" applyFont="1" applyBorder="1" applyAlignment="1">
      <alignment horizontal="center"/>
    </xf>
    <xf numFmtId="169" fontId="14" fillId="0" borderId="28" xfId="0" applyNumberFormat="1" applyFont="1" applyFill="1" applyBorder="1" applyAlignment="1">
      <alignment horizontal="center"/>
    </xf>
    <xf numFmtId="0" fontId="11" fillId="0" borderId="30" xfId="0" applyFont="1" applyBorder="1" applyAlignment="1">
      <alignment horizontal="center" vertical="center" wrapText="1"/>
    </xf>
    <xf numFmtId="0" fontId="10" fillId="0" borderId="29" xfId="0" applyNumberFormat="1" applyFont="1" applyFill="1" applyBorder="1" applyAlignment="1">
      <alignment horizontal="center" vertical="top" wrapText="1"/>
    </xf>
    <xf numFmtId="165" fontId="21" fillId="0" borderId="28" xfId="0" applyNumberFormat="1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6" fillId="0" borderId="28" xfId="0" applyFont="1" applyFill="1" applyBorder="1"/>
    <xf numFmtId="0" fontId="35" fillId="0" borderId="29" xfId="0" applyFont="1" applyFill="1" applyBorder="1" applyAlignment="1">
      <alignment horizontal="center"/>
    </xf>
    <xf numFmtId="0" fontId="19" fillId="0" borderId="30" xfId="0" applyFont="1" applyFill="1" applyBorder="1" applyAlignment="1">
      <alignment horizontal="center"/>
    </xf>
    <xf numFmtId="0" fontId="6" fillId="0" borderId="28" xfId="0" applyFont="1" applyBorder="1"/>
    <xf numFmtId="170" fontId="14" fillId="0" borderId="29" xfId="0" applyNumberFormat="1" applyFont="1" applyBorder="1" applyAlignment="1">
      <alignment horizontal="center"/>
    </xf>
    <xf numFmtId="0" fontId="23" fillId="0" borderId="24" xfId="0" applyFont="1" applyBorder="1"/>
    <xf numFmtId="170" fontId="13" fillId="0" borderId="26" xfId="0" applyNumberFormat="1" applyFont="1" applyBorder="1" applyAlignment="1">
      <alignment horizontal="left"/>
    </xf>
    <xf numFmtId="0" fontId="9" fillId="0" borderId="30" xfId="0" applyFont="1" applyBorder="1"/>
    <xf numFmtId="0" fontId="24" fillId="0" borderId="28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169" fontId="14" fillId="0" borderId="29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7" xfId="0" applyFont="1" applyBorder="1" applyAlignment="1">
      <alignment horizontal="center"/>
    </xf>
    <xf numFmtId="14" fontId="6" fillId="0" borderId="27" xfId="0" applyNumberFormat="1" applyFont="1" applyBorder="1" applyAlignment="1">
      <alignment horizontal="center"/>
    </xf>
    <xf numFmtId="0" fontId="6" fillId="0" borderId="27" xfId="0" applyFont="1" applyBorder="1"/>
    <xf numFmtId="20" fontId="6" fillId="0" borderId="27" xfId="0" applyNumberFormat="1" applyFont="1" applyBorder="1" applyAlignment="1">
      <alignment horizontal="center"/>
    </xf>
    <xf numFmtId="0" fontId="27" fillId="0" borderId="27" xfId="0" applyFont="1" applyBorder="1" applyAlignment="1">
      <alignment horizontal="center" vertical="center"/>
    </xf>
    <xf numFmtId="20" fontId="27" fillId="0" borderId="27" xfId="0" applyNumberFormat="1" applyFont="1" applyBorder="1" applyAlignment="1">
      <alignment horizontal="center" vertical="center"/>
    </xf>
    <xf numFmtId="0" fontId="6" fillId="0" borderId="37" xfId="0" applyFont="1" applyBorder="1"/>
    <xf numFmtId="0" fontId="11" fillId="0" borderId="3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1" fillId="0" borderId="24" xfId="0" applyFont="1" applyBorder="1"/>
    <xf numFmtId="0" fontId="11" fillId="0" borderId="27" xfId="2" applyFont="1" applyBorder="1" applyAlignment="1">
      <alignment horizontal="center" vertical="center"/>
    </xf>
    <xf numFmtId="49" fontId="37" fillId="0" borderId="35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49" fontId="37" fillId="0" borderId="27" xfId="0" applyNumberFormat="1" applyFont="1" applyBorder="1" applyAlignment="1">
      <alignment horizontal="center" vertical="center"/>
    </xf>
    <xf numFmtId="49" fontId="37" fillId="0" borderId="36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9" fontId="37" fillId="0" borderId="42" xfId="0" applyNumberFormat="1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44" xfId="0" applyFont="1" applyBorder="1"/>
    <xf numFmtId="0" fontId="20" fillId="0" borderId="44" xfId="0" applyFont="1" applyBorder="1" applyAlignment="1">
      <alignment vertical="top" wrapText="1"/>
    </xf>
    <xf numFmtId="165" fontId="21" fillId="0" borderId="44" xfId="0" applyNumberFormat="1" applyFont="1" applyBorder="1" applyAlignment="1">
      <alignment horizontal="center"/>
    </xf>
    <xf numFmtId="0" fontId="21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7" fillId="0" borderId="25" xfId="0" applyFont="1" applyBorder="1" applyAlignment="1">
      <alignment vertical="top" wrapText="1"/>
    </xf>
    <xf numFmtId="165" fontId="21" fillId="0" borderId="25" xfId="0" applyNumberFormat="1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5" fillId="0" borderId="0" xfId="3"/>
    <xf numFmtId="49" fontId="8" fillId="0" borderId="0" xfId="3" applyNumberFormat="1" applyFont="1" applyAlignment="1">
      <alignment horizontal="left"/>
    </xf>
    <xf numFmtId="0" fontId="8" fillId="0" borderId="0" xfId="3" applyFont="1" applyAlignment="1">
      <alignment horizontal="right"/>
    </xf>
    <xf numFmtId="0" fontId="8" fillId="0" borderId="0" xfId="3" applyFont="1"/>
    <xf numFmtId="0" fontId="8" fillId="0" borderId="0" xfId="3" applyFont="1" applyAlignment="1">
      <alignment horizontal="center"/>
    </xf>
    <xf numFmtId="0" fontId="42" fillId="0" borderId="0" xfId="3" applyFont="1" applyAlignment="1">
      <alignment horizontal="right"/>
    </xf>
    <xf numFmtId="0" fontId="43" fillId="3" borderId="45" xfId="3" applyFont="1" applyFill="1" applyBorder="1" applyAlignment="1">
      <alignment horizontal="right"/>
    </xf>
    <xf numFmtId="0" fontId="43" fillId="3" borderId="48" xfId="3" applyFont="1" applyFill="1" applyBorder="1"/>
    <xf numFmtId="0" fontId="43" fillId="0" borderId="0" xfId="3" applyFont="1" applyBorder="1"/>
    <xf numFmtId="0" fontId="5" fillId="0" borderId="0" xfId="3" applyBorder="1"/>
    <xf numFmtId="0" fontId="40" fillId="3" borderId="19" xfId="3" applyFont="1" applyFill="1" applyBorder="1" applyAlignment="1">
      <alignment horizontal="center"/>
    </xf>
    <xf numFmtId="0" fontId="5" fillId="0" borderId="53" xfId="3" applyBorder="1"/>
    <xf numFmtId="0" fontId="5" fillId="0" borderId="56" xfId="3" applyBorder="1"/>
    <xf numFmtId="9" fontId="5" fillId="0" borderId="57" xfId="3" applyNumberFormat="1" applyBorder="1"/>
    <xf numFmtId="9" fontId="5" fillId="0" borderId="58" xfId="3" applyNumberFormat="1" applyBorder="1"/>
    <xf numFmtId="0" fontId="5" fillId="0" borderId="48" xfId="3" applyBorder="1"/>
    <xf numFmtId="0" fontId="41" fillId="3" borderId="45" xfId="3" applyFont="1" applyFill="1" applyBorder="1" applyAlignment="1">
      <alignment horizontal="center"/>
    </xf>
    <xf numFmtId="0" fontId="44" fillId="3" borderId="61" xfId="3" applyFont="1" applyFill="1" applyBorder="1" applyAlignment="1">
      <alignment horizontal="center"/>
    </xf>
    <xf numFmtId="0" fontId="5" fillId="0" borderId="62" xfId="3" applyBorder="1"/>
    <xf numFmtId="0" fontId="5" fillId="0" borderId="63" xfId="3" applyBorder="1" applyAlignment="1">
      <alignment horizontal="center"/>
    </xf>
    <xf numFmtId="0" fontId="5" fillId="0" borderId="64" xfId="3" applyBorder="1" applyAlignment="1">
      <alignment horizontal="center"/>
    </xf>
    <xf numFmtId="0" fontId="5" fillId="0" borderId="65" xfId="3" applyBorder="1" applyAlignment="1">
      <alignment horizontal="center"/>
    </xf>
    <xf numFmtId="0" fontId="5" fillId="0" borderId="66" xfId="3" applyBorder="1" applyAlignment="1">
      <alignment horizontal="center"/>
    </xf>
    <xf numFmtId="0" fontId="5" fillId="0" borderId="67" xfId="3" applyBorder="1"/>
    <xf numFmtId="0" fontId="5" fillId="0" borderId="68" xfId="3" applyBorder="1"/>
    <xf numFmtId="0" fontId="5" fillId="0" borderId="0" xfId="3" applyAlignment="1">
      <alignment horizontal="center"/>
    </xf>
    <xf numFmtId="0" fontId="5" fillId="0" borderId="37" xfId="3" applyBorder="1"/>
    <xf numFmtId="0" fontId="5" fillId="0" borderId="69" xfId="3" applyBorder="1"/>
    <xf numFmtId="0" fontId="5" fillId="0" borderId="0" xfId="3" applyBorder="1" applyAlignment="1">
      <alignment horizontal="center"/>
    </xf>
    <xf numFmtId="0" fontId="5" fillId="0" borderId="70" xfId="3" applyBorder="1" applyAlignment="1">
      <alignment horizontal="center"/>
    </xf>
    <xf numFmtId="0" fontId="5" fillId="0" borderId="71" xfId="3" applyBorder="1" applyAlignment="1">
      <alignment horizontal="center"/>
    </xf>
    <xf numFmtId="0" fontId="5" fillId="0" borderId="72" xfId="3" applyBorder="1" applyAlignment="1">
      <alignment horizontal="center"/>
    </xf>
    <xf numFmtId="0" fontId="5" fillId="0" borderId="73" xfId="3" applyBorder="1" applyAlignment="1">
      <alignment horizontal="center"/>
    </xf>
    <xf numFmtId="0" fontId="5" fillId="0" borderId="74" xfId="3" applyBorder="1" applyAlignment="1">
      <alignment horizontal="center"/>
    </xf>
    <xf numFmtId="0" fontId="5" fillId="0" borderId="75" xfId="3" applyBorder="1" applyAlignment="1">
      <alignment horizontal="center"/>
    </xf>
    <xf numFmtId="0" fontId="5" fillId="0" borderId="19" xfId="3" applyBorder="1"/>
    <xf numFmtId="0" fontId="5" fillId="0" borderId="21" xfId="3" applyBorder="1"/>
    <xf numFmtId="0" fontId="5" fillId="0" borderId="76" xfId="3" applyBorder="1"/>
    <xf numFmtId="0" fontId="5" fillId="0" borderId="77" xfId="3" applyBorder="1"/>
    <xf numFmtId="0" fontId="5" fillId="0" borderId="78" xfId="3" applyBorder="1" applyAlignment="1">
      <alignment horizontal="center"/>
    </xf>
    <xf numFmtId="0" fontId="5" fillId="0" borderId="79" xfId="3" applyBorder="1" applyAlignment="1">
      <alignment horizontal="center"/>
    </xf>
    <xf numFmtId="0" fontId="5" fillId="0" borderId="80" xfId="3" applyBorder="1" applyAlignment="1">
      <alignment horizontal="center"/>
    </xf>
    <xf numFmtId="0" fontId="5" fillId="0" borderId="51" xfId="3" applyBorder="1"/>
    <xf numFmtId="0" fontId="5" fillId="0" borderId="52" xfId="3" applyBorder="1"/>
    <xf numFmtId="0" fontId="5" fillId="0" borderId="81" xfId="3" applyBorder="1" applyAlignment="1">
      <alignment horizontal="center"/>
    </xf>
    <xf numFmtId="0" fontId="5" fillId="0" borderId="82" xfId="3" applyBorder="1" applyAlignment="1">
      <alignment horizontal="center"/>
    </xf>
    <xf numFmtId="0" fontId="5" fillId="0" borderId="83" xfId="3" applyBorder="1" applyAlignment="1">
      <alignment horizontal="center"/>
    </xf>
    <xf numFmtId="0" fontId="5" fillId="0" borderId="84" xfId="3" applyBorder="1" applyAlignment="1">
      <alignment horizontal="center"/>
    </xf>
    <xf numFmtId="0" fontId="5" fillId="0" borderId="85" xfId="3" applyBorder="1" applyAlignment="1">
      <alignment horizontal="center"/>
    </xf>
    <xf numFmtId="0" fontId="5" fillId="0" borderId="86" xfId="3" applyBorder="1" applyAlignment="1">
      <alignment horizontal="center"/>
    </xf>
    <xf numFmtId="0" fontId="5" fillId="0" borderId="87" xfId="3" applyBorder="1" applyAlignment="1">
      <alignment horizontal="center"/>
    </xf>
    <xf numFmtId="0" fontId="5" fillId="0" borderId="88" xfId="3" applyBorder="1" applyAlignment="1">
      <alignment horizontal="center"/>
    </xf>
    <xf numFmtId="0" fontId="5" fillId="0" borderId="89" xfId="3" applyBorder="1" applyAlignment="1">
      <alignment horizontal="center"/>
    </xf>
    <xf numFmtId="0" fontId="5" fillId="0" borderId="90" xfId="3" applyBorder="1" applyAlignment="1">
      <alignment horizontal="center"/>
    </xf>
    <xf numFmtId="0" fontId="5" fillId="0" borderId="91" xfId="3" applyBorder="1" applyAlignment="1">
      <alignment horizontal="center"/>
    </xf>
    <xf numFmtId="0" fontId="9" fillId="0" borderId="0" xfId="3" applyFont="1"/>
    <xf numFmtId="0" fontId="6" fillId="0" borderId="0" xfId="3" applyFont="1"/>
    <xf numFmtId="0" fontId="43" fillId="3" borderId="93" xfId="3" applyFont="1" applyFill="1" applyBorder="1"/>
    <xf numFmtId="0" fontId="5" fillId="0" borderId="93" xfId="3" applyBorder="1"/>
    <xf numFmtId="0" fontId="5" fillId="0" borderId="97" xfId="3" applyBorder="1"/>
    <xf numFmtId="0" fontId="5" fillId="4" borderId="98" xfId="3" applyFill="1" applyBorder="1" applyAlignment="1">
      <alignment horizontal="center"/>
    </xf>
    <xf numFmtId="0" fontId="5" fillId="4" borderId="99" xfId="3" applyFill="1" applyBorder="1" applyAlignment="1">
      <alignment horizontal="center"/>
    </xf>
    <xf numFmtId="0" fontId="5" fillId="5" borderId="86" xfId="3" applyFill="1" applyBorder="1" applyAlignment="1">
      <alignment horizontal="center"/>
    </xf>
    <xf numFmtId="0" fontId="5" fillId="5" borderId="87" xfId="3" applyFill="1" applyBorder="1" applyAlignment="1">
      <alignment horizontal="center"/>
    </xf>
    <xf numFmtId="0" fontId="5" fillId="5" borderId="88" xfId="3" applyFill="1" applyBorder="1" applyAlignment="1">
      <alignment horizontal="center"/>
    </xf>
    <xf numFmtId="0" fontId="5" fillId="0" borderId="75" xfId="3" applyFont="1" applyBorder="1" applyAlignment="1">
      <alignment horizontal="center"/>
    </xf>
    <xf numFmtId="0" fontId="5" fillId="0" borderId="66" xfId="3" applyFont="1" applyBorder="1" applyAlignment="1">
      <alignment horizontal="center"/>
    </xf>
    <xf numFmtId="0" fontId="5" fillId="0" borderId="63" xfId="3" applyFont="1" applyBorder="1" applyAlignment="1">
      <alignment horizontal="center"/>
    </xf>
    <xf numFmtId="0" fontId="5" fillId="0" borderId="100" xfId="3" applyBorder="1"/>
    <xf numFmtId="0" fontId="5" fillId="0" borderId="101" xfId="3" applyBorder="1" applyAlignment="1">
      <alignment horizontal="center"/>
    </xf>
    <xf numFmtId="0" fontId="5" fillId="0" borderId="102" xfId="3" applyBorder="1" applyAlignment="1">
      <alignment horizontal="center"/>
    </xf>
    <xf numFmtId="0" fontId="5" fillId="0" borderId="104" xfId="3" applyBorder="1" applyAlignment="1">
      <alignment horizontal="center"/>
    </xf>
    <xf numFmtId="0" fontId="5" fillId="0" borderId="103" xfId="3" applyBorder="1" applyAlignment="1">
      <alignment horizontal="center"/>
    </xf>
    <xf numFmtId="0" fontId="39" fillId="0" borderId="51" xfId="3" applyFont="1" applyBorder="1"/>
    <xf numFmtId="0" fontId="47" fillId="0" borderId="19" xfId="3" applyFont="1" applyBorder="1"/>
    <xf numFmtId="0" fontId="5" fillId="0" borderId="105" xfId="3" applyBorder="1" applyAlignment="1">
      <alignment horizontal="center"/>
    </xf>
    <xf numFmtId="0" fontId="5" fillId="0" borderId="106" xfId="3" applyBorder="1" applyAlignment="1">
      <alignment horizontal="center"/>
    </xf>
    <xf numFmtId="0" fontId="5" fillId="0" borderId="108" xfId="3" applyBorder="1" applyAlignment="1">
      <alignment horizontal="center"/>
    </xf>
    <xf numFmtId="0" fontId="5" fillId="0" borderId="107" xfId="3" applyBorder="1" applyAlignment="1">
      <alignment horizontal="center"/>
    </xf>
    <xf numFmtId="0" fontId="39" fillId="0" borderId="37" xfId="3" applyFont="1" applyBorder="1"/>
    <xf numFmtId="0" fontId="5" fillId="0" borderId="101" xfId="3" applyFont="1" applyBorder="1" applyAlignment="1">
      <alignment horizontal="center"/>
    </xf>
    <xf numFmtId="0" fontId="5" fillId="0" borderId="102" xfId="3" applyFont="1" applyBorder="1" applyAlignment="1">
      <alignment horizontal="center"/>
    </xf>
    <xf numFmtId="0" fontId="47" fillId="0" borderId="93" xfId="3" applyFont="1" applyBorder="1"/>
    <xf numFmtId="0" fontId="47" fillId="0" borderId="51" xfId="3" applyFont="1" applyBorder="1"/>
    <xf numFmtId="0" fontId="47" fillId="0" borderId="37" xfId="3" applyFont="1" applyBorder="1"/>
    <xf numFmtId="0" fontId="47" fillId="0" borderId="76" xfId="3" applyFont="1" applyBorder="1"/>
    <xf numFmtId="0" fontId="4" fillId="0" borderId="0" xfId="4" applyFont="1"/>
    <xf numFmtId="0" fontId="4" fillId="0" borderId="110" xfId="4" applyBorder="1"/>
    <xf numFmtId="0" fontId="47" fillId="0" borderId="67" xfId="3" applyFont="1" applyBorder="1"/>
    <xf numFmtId="0" fontId="47" fillId="0" borderId="109" xfId="4" applyFont="1" applyBorder="1"/>
    <xf numFmtId="0" fontId="14" fillId="0" borderId="8" xfId="0" applyFont="1" applyBorder="1" applyAlignment="1">
      <alignment horizontal="center"/>
    </xf>
    <xf numFmtId="0" fontId="3" fillId="0" borderId="87" xfId="3" applyFont="1" applyBorder="1" applyAlignment="1">
      <alignment horizontal="center"/>
    </xf>
    <xf numFmtId="0" fontId="3" fillId="0" borderId="75" xfId="3" applyFont="1" applyBorder="1" applyAlignment="1">
      <alignment horizontal="center"/>
    </xf>
    <xf numFmtId="0" fontId="3" fillId="0" borderId="85" xfId="3" applyFont="1" applyBorder="1" applyAlignment="1">
      <alignment horizontal="center"/>
    </xf>
    <xf numFmtId="0" fontId="3" fillId="0" borderId="81" xfId="3" applyFont="1" applyBorder="1" applyAlignment="1">
      <alignment horizontal="center"/>
    </xf>
    <xf numFmtId="0" fontId="3" fillId="4" borderId="99" xfId="3" applyFont="1" applyFill="1" applyBorder="1" applyAlignment="1">
      <alignment horizontal="center"/>
    </xf>
    <xf numFmtId="0" fontId="2" fillId="0" borderId="75" xfId="3" applyFont="1" applyBorder="1" applyAlignment="1">
      <alignment horizontal="center"/>
    </xf>
    <xf numFmtId="0" fontId="2" fillId="4" borderId="98" xfId="3" applyFont="1" applyFill="1" applyBorder="1" applyAlignment="1">
      <alignment horizontal="center"/>
    </xf>
    <xf numFmtId="0" fontId="2" fillId="4" borderId="99" xfId="3" applyFont="1" applyFill="1" applyBorder="1" applyAlignment="1">
      <alignment horizontal="center"/>
    </xf>
    <xf numFmtId="0" fontId="37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quotePrefix="1" applyFont="1" applyAlignment="1">
      <alignment horizontal="center"/>
    </xf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0" fontId="17" fillId="0" borderId="2" xfId="0" applyFont="1" applyBorder="1" applyAlignment="1">
      <alignment vertical="top" wrapText="1"/>
    </xf>
    <xf numFmtId="0" fontId="13" fillId="0" borderId="5" xfId="0" applyFont="1" applyBorder="1" applyAlignment="1">
      <alignment horizontal="center"/>
    </xf>
    <xf numFmtId="0" fontId="17" fillId="0" borderId="7" xfId="0" applyFont="1" applyBorder="1" applyAlignment="1">
      <alignment vertical="top" wrapText="1"/>
    </xf>
    <xf numFmtId="0" fontId="13" fillId="0" borderId="7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20" fillId="0" borderId="2" xfId="0" applyFont="1" applyBorder="1" applyAlignment="1">
      <alignment vertical="top" wrapText="1"/>
    </xf>
    <xf numFmtId="0" fontId="21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Fill="1" applyBorder="1" applyAlignment="1">
      <alignment horizontal="left" vertical="top" wrapText="1"/>
    </xf>
    <xf numFmtId="0" fontId="11" fillId="0" borderId="16" xfId="0" applyFont="1" applyFill="1" applyBorder="1" applyAlignment="1">
      <alignment horizontal="left" vertical="top" wrapText="1"/>
    </xf>
    <xf numFmtId="0" fontId="11" fillId="0" borderId="17" xfId="0" applyFont="1" applyFill="1" applyBorder="1" applyAlignment="1">
      <alignment horizontal="left" vertical="top" wrapText="1"/>
    </xf>
    <xf numFmtId="0" fontId="20" fillId="0" borderId="5" xfId="0" applyFont="1" applyBorder="1" applyAlignment="1">
      <alignment vertical="top" wrapText="1"/>
    </xf>
    <xf numFmtId="0" fontId="11" fillId="0" borderId="38" xfId="2" applyFont="1" applyBorder="1" applyAlignment="1">
      <alignment horizontal="center" vertical="center"/>
    </xf>
    <xf numFmtId="0" fontId="11" fillId="0" borderId="39" xfId="2" applyFont="1" applyBorder="1" applyAlignment="1">
      <alignment horizontal="center" vertical="center"/>
    </xf>
    <xf numFmtId="0" fontId="11" fillId="0" borderId="40" xfId="2" applyFont="1" applyBorder="1" applyAlignment="1">
      <alignment horizontal="center" vertical="center"/>
    </xf>
    <xf numFmtId="0" fontId="11" fillId="0" borderId="25" xfId="2" applyFont="1" applyBorder="1" applyAlignment="1">
      <alignment horizontal="center" vertical="center"/>
    </xf>
    <xf numFmtId="0" fontId="11" fillId="0" borderId="41" xfId="2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vertical="top" wrapText="1"/>
    </xf>
    <xf numFmtId="0" fontId="17" fillId="0" borderId="13" xfId="0" applyFont="1" applyBorder="1" applyAlignment="1">
      <alignment vertical="top" wrapText="1"/>
    </xf>
    <xf numFmtId="0" fontId="25" fillId="0" borderId="0" xfId="0" applyFont="1" applyBorder="1" applyAlignment="1">
      <alignment horizontal="left" vertical="top" wrapText="1"/>
    </xf>
    <xf numFmtId="0" fontId="17" fillId="0" borderId="5" xfId="0" applyFont="1" applyBorder="1"/>
    <xf numFmtId="0" fontId="23" fillId="0" borderId="5" xfId="0" applyFont="1" applyBorder="1"/>
    <xf numFmtId="0" fontId="13" fillId="0" borderId="5" xfId="0" applyFont="1" applyBorder="1"/>
    <xf numFmtId="0" fontId="13" fillId="0" borderId="28" xfId="0" applyFont="1" applyFill="1" applyBorder="1" applyAlignment="1">
      <alignment horizontal="center"/>
    </xf>
    <xf numFmtId="0" fontId="17" fillId="0" borderId="28" xfId="0" applyFont="1" applyFill="1" applyBorder="1" applyAlignment="1">
      <alignment vertical="top" wrapText="1"/>
    </xf>
    <xf numFmtId="0" fontId="17" fillId="0" borderId="26" xfId="0" applyFont="1" applyFill="1" applyBorder="1" applyAlignment="1">
      <alignment vertical="top" wrapText="1"/>
    </xf>
    <xf numFmtId="0" fontId="17" fillId="0" borderId="28" xfId="0" applyFont="1" applyBorder="1"/>
    <xf numFmtId="170" fontId="13" fillId="0" borderId="28" xfId="0" applyNumberFormat="1" applyFont="1" applyBorder="1" applyAlignment="1">
      <alignment horizontal="center"/>
    </xf>
    <xf numFmtId="0" fontId="13" fillId="0" borderId="28" xfId="0" applyFont="1" applyBorder="1" applyAlignment="1">
      <alignment horizontal="center"/>
    </xf>
    <xf numFmtId="0" fontId="12" fillId="0" borderId="5" xfId="0" applyFont="1" applyFill="1" applyBorder="1" applyAlignment="1">
      <alignment vertical="top" wrapText="1"/>
    </xf>
    <xf numFmtId="0" fontId="23" fillId="0" borderId="28" xfId="0" applyFont="1" applyBorder="1"/>
    <xf numFmtId="0" fontId="13" fillId="0" borderId="28" xfId="0" applyFont="1" applyBorder="1"/>
    <xf numFmtId="0" fontId="11" fillId="0" borderId="36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vertical="top" wrapText="1"/>
    </xf>
    <xf numFmtId="0" fontId="13" fillId="0" borderId="29" xfId="0" applyFont="1" applyBorder="1" applyAlignment="1">
      <alignment horizontal="center"/>
    </xf>
    <xf numFmtId="0" fontId="17" fillId="0" borderId="5" xfId="0" applyFont="1" applyFill="1" applyBorder="1" applyAlignment="1">
      <alignment vertical="top" wrapText="1"/>
    </xf>
    <xf numFmtId="0" fontId="13" fillId="0" borderId="5" xfId="0" applyFont="1" applyFill="1" applyBorder="1" applyAlignment="1">
      <alignment horizontal="center"/>
    </xf>
    <xf numFmtId="170" fontId="13" fillId="0" borderId="5" xfId="0" applyNumberFormat="1" applyFont="1" applyBorder="1" applyAlignment="1">
      <alignment horizontal="center"/>
    </xf>
    <xf numFmtId="0" fontId="11" fillId="0" borderId="33" xfId="0" applyFont="1" applyBorder="1"/>
    <xf numFmtId="0" fontId="11" fillId="0" borderId="34" xfId="0" applyFont="1" applyBorder="1"/>
    <xf numFmtId="0" fontId="11" fillId="0" borderId="35" xfId="0" applyFont="1" applyBorder="1"/>
    <xf numFmtId="0" fontId="20" fillId="0" borderId="26" xfId="0" applyFont="1" applyBorder="1" applyAlignment="1">
      <alignment vertical="top" wrapText="1"/>
    </xf>
    <xf numFmtId="0" fontId="22" fillId="0" borderId="28" xfId="0" applyFont="1" applyBorder="1" applyAlignment="1">
      <alignment horizontal="center"/>
    </xf>
    <xf numFmtId="0" fontId="17" fillId="0" borderId="6" xfId="0" applyFont="1" applyBorder="1" applyAlignment="1">
      <alignment vertical="top" wrapText="1"/>
    </xf>
    <xf numFmtId="0" fontId="17" fillId="0" borderId="2" xfId="0" applyFont="1" applyFill="1" applyBorder="1" applyAlignment="1">
      <alignment vertical="top" wrapText="1"/>
    </xf>
    <xf numFmtId="0" fontId="14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0" fillId="0" borderId="28" xfId="0" applyFont="1" applyBorder="1" applyAlignment="1">
      <alignment vertical="top" wrapText="1"/>
    </xf>
    <xf numFmtId="0" fontId="11" fillId="0" borderId="5" xfId="0" applyFont="1" applyBorder="1"/>
    <xf numFmtId="0" fontId="11" fillId="0" borderId="32" xfId="0" applyFont="1" applyBorder="1"/>
    <xf numFmtId="0" fontId="17" fillId="0" borderId="30" xfId="0" applyFont="1" applyBorder="1" applyAlignment="1">
      <alignment vertical="top" wrapText="1"/>
    </xf>
    <xf numFmtId="0" fontId="13" fillId="0" borderId="111" xfId="0" applyFont="1" applyBorder="1" applyAlignment="1">
      <alignment horizontal="center"/>
    </xf>
    <xf numFmtId="0" fontId="13" fillId="0" borderId="112" xfId="0" applyFont="1" applyBorder="1" applyAlignment="1">
      <alignment horizontal="center"/>
    </xf>
    <xf numFmtId="0" fontId="22" fillId="2" borderId="28" xfId="0" applyFont="1" applyFill="1" applyBorder="1" applyAlignment="1">
      <alignment horizontal="center"/>
    </xf>
    <xf numFmtId="0" fontId="21" fillId="0" borderId="28" xfId="0" applyFont="1" applyBorder="1" applyAlignment="1">
      <alignment horizontal="center"/>
    </xf>
    <xf numFmtId="0" fontId="17" fillId="0" borderId="26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4" fillId="0" borderId="29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3" xfId="0" applyNumberFormat="1" applyFont="1" applyBorder="1" applyAlignment="1">
      <alignment horizontal="center" vertical="top" wrapText="1"/>
    </xf>
    <xf numFmtId="0" fontId="10" fillId="0" borderId="3" xfId="0" applyNumberFormat="1" applyFont="1" applyFill="1" applyBorder="1" applyAlignment="1">
      <alignment horizontal="center" vertical="top" wrapText="1"/>
    </xf>
    <xf numFmtId="0" fontId="17" fillId="0" borderId="28" xfId="0" applyFont="1" applyBorder="1" applyAlignment="1">
      <alignment vertical="top" wrapText="1"/>
    </xf>
    <xf numFmtId="0" fontId="11" fillId="0" borderId="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9" fontId="5" fillId="0" borderId="57" xfId="3" applyNumberFormat="1" applyBorder="1"/>
    <xf numFmtId="9" fontId="5" fillId="0" borderId="58" xfId="3" applyNumberFormat="1" applyBorder="1"/>
    <xf numFmtId="1" fontId="5" fillId="0" borderId="57" xfId="3" applyNumberFormat="1" applyBorder="1" applyAlignment="1">
      <alignment horizontal="center"/>
    </xf>
    <xf numFmtId="1" fontId="5" fillId="0" borderId="59" xfId="3" applyNumberFormat="1" applyBorder="1" applyAlignment="1">
      <alignment horizontal="center"/>
    </xf>
    <xf numFmtId="9" fontId="5" fillId="0" borderId="49" xfId="3" applyNumberFormat="1" applyBorder="1"/>
    <xf numFmtId="9" fontId="5" fillId="0" borderId="60" xfId="3" applyNumberFormat="1" applyBorder="1"/>
    <xf numFmtId="1" fontId="5" fillId="0" borderId="49" xfId="3" applyNumberFormat="1" applyBorder="1" applyAlignment="1">
      <alignment horizontal="center"/>
    </xf>
    <xf numFmtId="1" fontId="5" fillId="0" borderId="50" xfId="3" applyNumberFormat="1" applyBorder="1" applyAlignment="1">
      <alignment horizontal="center"/>
    </xf>
    <xf numFmtId="0" fontId="12" fillId="0" borderId="92" xfId="3" applyFont="1" applyBorder="1" applyAlignment="1">
      <alignment vertical="top" wrapText="1"/>
    </xf>
    <xf numFmtId="9" fontId="5" fillId="0" borderId="54" xfId="3" applyNumberFormat="1" applyBorder="1"/>
    <xf numFmtId="9" fontId="5" fillId="0" borderId="22" xfId="3" applyNumberFormat="1" applyBorder="1"/>
    <xf numFmtId="1" fontId="5" fillId="0" borderId="54" xfId="3" applyNumberFormat="1" applyBorder="1" applyAlignment="1">
      <alignment horizontal="center"/>
    </xf>
    <xf numFmtId="1" fontId="5" fillId="0" borderId="55" xfId="3" applyNumberFormat="1" applyBorder="1" applyAlignment="1">
      <alignment horizontal="center"/>
    </xf>
    <xf numFmtId="0" fontId="40" fillId="3" borderId="51" xfId="3" applyFont="1" applyFill="1" applyBorder="1" applyAlignment="1">
      <alignment horizontal="center"/>
    </xf>
    <xf numFmtId="0" fontId="40" fillId="3" borderId="52" xfId="3" applyFont="1" applyFill="1" applyBorder="1" applyAlignment="1">
      <alignment horizontal="center"/>
    </xf>
    <xf numFmtId="0" fontId="40" fillId="3" borderId="20" xfId="3" applyFont="1" applyFill="1" applyBorder="1" applyAlignment="1">
      <alignment horizontal="center"/>
    </xf>
    <xf numFmtId="0" fontId="40" fillId="3" borderId="21" xfId="3" applyFont="1" applyFill="1" applyBorder="1" applyAlignment="1">
      <alignment horizontal="center"/>
    </xf>
    <xf numFmtId="0" fontId="8" fillId="0" borderId="0" xfId="3" applyFont="1" applyAlignment="1">
      <alignment horizontal="right"/>
    </xf>
    <xf numFmtId="0" fontId="41" fillId="0" borderId="0" xfId="3" applyFont="1" applyAlignment="1">
      <alignment horizontal="center" vertical="top" wrapText="1"/>
    </xf>
    <xf numFmtId="0" fontId="43" fillId="0" borderId="46" xfId="3" applyFont="1" applyBorder="1" applyAlignment="1">
      <alignment horizontal="center"/>
    </xf>
    <xf numFmtId="0" fontId="43" fillId="0" borderId="47" xfId="3" applyFont="1" applyBorder="1" applyAlignment="1">
      <alignment horizontal="center"/>
    </xf>
    <xf numFmtId="0" fontId="5" fillId="0" borderId="49" xfId="3" applyBorder="1" applyAlignment="1">
      <alignment horizontal="center"/>
    </xf>
    <xf numFmtId="0" fontId="5" fillId="0" borderId="50" xfId="3" applyBorder="1" applyAlignment="1">
      <alignment horizontal="center"/>
    </xf>
    <xf numFmtId="0" fontId="41" fillId="0" borderId="0" xfId="3" applyFont="1" applyAlignment="1">
      <alignment horizontal="center"/>
    </xf>
    <xf numFmtId="9" fontId="45" fillId="0" borderId="57" xfId="3" applyNumberFormat="1" applyFont="1" applyBorder="1" applyAlignment="1">
      <alignment horizontal="center"/>
    </xf>
    <xf numFmtId="9" fontId="45" fillId="0" borderId="58" xfId="3" applyNumberFormat="1" applyFont="1" applyBorder="1" applyAlignment="1">
      <alignment horizontal="center"/>
    </xf>
    <xf numFmtId="9" fontId="45" fillId="0" borderId="94" xfId="3" applyNumberFormat="1" applyFont="1" applyBorder="1" applyAlignment="1">
      <alignment horizontal="center"/>
    </xf>
    <xf numFmtId="9" fontId="45" fillId="0" borderId="96" xfId="3" applyNumberFormat="1" applyFont="1" applyBorder="1" applyAlignment="1">
      <alignment horizontal="center"/>
    </xf>
    <xf numFmtId="49" fontId="43" fillId="0" borderId="46" xfId="3" applyNumberFormat="1" applyFont="1" applyBorder="1" applyAlignment="1">
      <alignment horizontal="center"/>
    </xf>
    <xf numFmtId="49" fontId="43" fillId="0" borderId="47" xfId="3" applyNumberFormat="1" applyFont="1" applyBorder="1" applyAlignment="1">
      <alignment horizontal="center"/>
    </xf>
    <xf numFmtId="9" fontId="5" fillId="0" borderId="94" xfId="3" applyNumberFormat="1" applyBorder="1"/>
    <xf numFmtId="9" fontId="5" fillId="0" borderId="96" xfId="3" applyNumberFormat="1" applyBorder="1"/>
    <xf numFmtId="1" fontId="5" fillId="0" borderId="94" xfId="3" applyNumberFormat="1" applyBorder="1" applyAlignment="1">
      <alignment horizontal="center"/>
    </xf>
    <xf numFmtId="1" fontId="5" fillId="0" borderId="95" xfId="3" applyNumberFormat="1" applyBorder="1" applyAlignment="1">
      <alignment horizontal="center"/>
    </xf>
    <xf numFmtId="0" fontId="5" fillId="0" borderId="94" xfId="3" applyBorder="1" applyAlignment="1">
      <alignment horizontal="center"/>
    </xf>
    <xf numFmtId="0" fontId="5" fillId="0" borderId="95" xfId="3" applyBorder="1" applyAlignment="1">
      <alignment horizontal="center"/>
    </xf>
    <xf numFmtId="9" fontId="45" fillId="0" borderId="94" xfId="3" applyNumberFormat="1" applyFont="1" applyBorder="1"/>
    <xf numFmtId="9" fontId="45" fillId="0" borderId="96" xfId="3" applyNumberFormat="1" applyFont="1" applyBorder="1"/>
    <xf numFmtId="9" fontId="45" fillId="0" borderId="57" xfId="3" applyNumberFormat="1" applyFont="1" applyBorder="1"/>
    <xf numFmtId="9" fontId="45" fillId="0" borderId="58" xfId="3" applyNumberFormat="1" applyFont="1" applyBorder="1"/>
    <xf numFmtId="0" fontId="46" fillId="0" borderId="94" xfId="3" applyFont="1" applyBorder="1" applyAlignment="1">
      <alignment horizontal="center"/>
    </xf>
    <xf numFmtId="0" fontId="46" fillId="0" borderId="95" xfId="3" applyFont="1" applyBorder="1" applyAlignment="1">
      <alignment horizontal="center"/>
    </xf>
    <xf numFmtId="0" fontId="1" fillId="0" borderId="75" xfId="3" applyFont="1" applyBorder="1" applyAlignment="1">
      <alignment horizontal="center"/>
    </xf>
    <xf numFmtId="0" fontId="1" fillId="0" borderId="88" xfId="3" applyFont="1" applyBorder="1" applyAlignment="1">
      <alignment horizontal="center"/>
    </xf>
    <xf numFmtId="0" fontId="1" fillId="0" borderId="79" xfId="3" applyFont="1" applyBorder="1" applyAlignment="1">
      <alignment horizontal="center"/>
    </xf>
    <xf numFmtId="0" fontId="1" fillId="4" borderId="98" xfId="3" applyFont="1" applyFill="1" applyBorder="1" applyAlignment="1">
      <alignment horizontal="center"/>
    </xf>
    <xf numFmtId="0" fontId="1" fillId="4" borderId="99" xfId="3" applyFont="1" applyFill="1" applyBorder="1" applyAlignment="1">
      <alignment horizontal="center"/>
    </xf>
    <xf numFmtId="0" fontId="1" fillId="0" borderId="73" xfId="3" applyFont="1" applyBorder="1" applyAlignment="1">
      <alignment horizontal="center"/>
    </xf>
  </cellXfs>
  <cellStyles count="5">
    <cellStyle name="Normálna" xfId="0" builtinId="0"/>
    <cellStyle name="Normálna 2" xfId="2"/>
    <cellStyle name="Normálna 3" xfId="3"/>
    <cellStyle name="Normálna 3 2" xfId="4"/>
    <cellStyle name="normálne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1028700</xdr:colOff>
      <xdr:row>2</xdr:row>
      <xdr:rowOff>9525</xdr:rowOff>
    </xdr:to>
    <xdr:pic>
      <xdr:nvPicPr>
        <xdr:cNvPr id="4" name="Obrázok 3" descr="lps_hlavickovy_papier_dnv_202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29350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359833</xdr:colOff>
      <xdr:row>3</xdr:row>
      <xdr:rowOff>21167</xdr:rowOff>
    </xdr:to>
    <xdr:pic>
      <xdr:nvPicPr>
        <xdr:cNvPr id="3" name="Obrázok 2" descr="lps_hlavickovy_papier_dnv_202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31000" cy="1016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359833</xdr:colOff>
      <xdr:row>3</xdr:row>
      <xdr:rowOff>10583</xdr:rowOff>
    </xdr:to>
    <xdr:pic>
      <xdr:nvPicPr>
        <xdr:cNvPr id="3" name="Obrázok 2" descr="lps_hlavickovy_papier_dnv_202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731000" cy="10054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476249</xdr:colOff>
      <xdr:row>3</xdr:row>
      <xdr:rowOff>35719</xdr:rowOff>
    </xdr:to>
    <xdr:pic>
      <xdr:nvPicPr>
        <xdr:cNvPr id="3" name="Obrázok 2" descr="lps_hlavickovy_papier_dnv_202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05624" cy="10358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201083</xdr:colOff>
      <xdr:row>3</xdr:row>
      <xdr:rowOff>10583</xdr:rowOff>
    </xdr:to>
    <xdr:pic>
      <xdr:nvPicPr>
        <xdr:cNvPr id="3" name="Obrázok 2" descr="lps_hlavickovy_papier_dnv_202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445250" cy="100541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"/>
  <sheetViews>
    <sheetView tabSelected="1" view="pageBreakPreview" topLeftCell="A43" zoomScaleNormal="100" zoomScaleSheetLayoutView="100" workbookViewId="0">
      <selection activeCell="M88" sqref="M88"/>
    </sheetView>
  </sheetViews>
  <sheetFormatPr defaultRowHeight="11.25" x14ac:dyDescent="0.2"/>
  <cols>
    <col min="1" max="1" width="9.28515625" style="1" customWidth="1"/>
    <col min="2" max="2" width="11.42578125" style="1" customWidth="1"/>
    <col min="3" max="3" width="18.85546875" style="1" customWidth="1"/>
    <col min="4" max="4" width="9.7109375" style="1" customWidth="1"/>
    <col min="5" max="6" width="8.85546875" style="1" customWidth="1"/>
    <col min="7" max="7" width="11" style="1" customWidth="1"/>
    <col min="8" max="8" width="15.7109375" style="1" customWidth="1"/>
    <col min="9" max="9" width="0" style="1" hidden="1" customWidth="1"/>
    <col min="10" max="16384" width="9.140625" style="1"/>
  </cols>
  <sheetData>
    <row r="1" spans="1:9" s="2" customFormat="1" ht="20.100000000000001" customHeight="1" x14ac:dyDescent="0.3">
      <c r="A1" s="76"/>
      <c r="H1" s="77"/>
      <c r="I1" s="76"/>
    </row>
    <row r="2" spans="1:9" s="2" customFormat="1" ht="39.950000000000003" customHeight="1" x14ac:dyDescent="0.3">
      <c r="A2" s="277"/>
      <c r="B2" s="278"/>
      <c r="C2" s="278"/>
      <c r="D2" s="278"/>
      <c r="E2" s="278"/>
      <c r="F2" s="278"/>
      <c r="G2" s="278"/>
      <c r="H2" s="278"/>
    </row>
    <row r="3" spans="1:9" ht="16.5" customHeight="1" x14ac:dyDescent="0.25">
      <c r="A3" s="65"/>
      <c r="B3" s="358" t="s">
        <v>143</v>
      </c>
      <c r="C3" s="358"/>
      <c r="D3" s="358"/>
      <c r="E3" s="358"/>
      <c r="F3" s="358"/>
      <c r="G3" s="358"/>
      <c r="H3" s="75"/>
    </row>
    <row r="4" spans="1:9" ht="5.25" customHeight="1" x14ac:dyDescent="0.25">
      <c r="A4" s="65"/>
      <c r="B4" s="3"/>
      <c r="C4" s="3"/>
      <c r="D4" s="3"/>
      <c r="E4" s="66"/>
      <c r="F4" s="67"/>
      <c r="G4" s="68"/>
      <c r="H4" s="62"/>
    </row>
    <row r="5" spans="1:9" s="4" customFormat="1" ht="12" customHeight="1" x14ac:dyDescent="0.2">
      <c r="A5" s="4" t="s">
        <v>54</v>
      </c>
    </row>
    <row r="6" spans="1:9" x14ac:dyDescent="0.2">
      <c r="A6" s="5"/>
      <c r="B6" s="6" t="s">
        <v>55</v>
      </c>
      <c r="C6" s="294">
        <v>45411</v>
      </c>
      <c r="D6" s="294"/>
      <c r="E6" s="7"/>
      <c r="F6" s="8"/>
      <c r="G6" s="9" t="s">
        <v>0</v>
      </c>
      <c r="H6" s="73" t="s">
        <v>90</v>
      </c>
      <c r="I6" s="10"/>
    </row>
    <row r="7" spans="1:9" x14ac:dyDescent="0.2">
      <c r="A7" s="5"/>
      <c r="B7" s="6" t="s">
        <v>1</v>
      </c>
      <c r="C7" s="293" t="s">
        <v>2</v>
      </c>
      <c r="D7" s="293"/>
      <c r="E7" s="7"/>
      <c r="F7" s="8"/>
      <c r="G7" s="9" t="s">
        <v>3</v>
      </c>
      <c r="H7" s="74" t="s">
        <v>90</v>
      </c>
      <c r="I7" s="10"/>
    </row>
    <row r="8" spans="1:9" x14ac:dyDescent="0.2">
      <c r="A8" s="5"/>
      <c r="B8" s="6" t="s">
        <v>4</v>
      </c>
      <c r="C8" s="293" t="s">
        <v>62</v>
      </c>
      <c r="D8" s="293"/>
      <c r="E8" s="7"/>
      <c r="F8" s="8"/>
      <c r="G8" s="9" t="s">
        <v>5</v>
      </c>
      <c r="H8" s="74" t="s">
        <v>145</v>
      </c>
      <c r="I8" s="10"/>
    </row>
    <row r="9" spans="1:9" x14ac:dyDescent="0.2">
      <c r="A9" s="5"/>
      <c r="B9" s="6" t="s">
        <v>6</v>
      </c>
      <c r="C9" s="293" t="s">
        <v>63</v>
      </c>
      <c r="D9" s="293"/>
      <c r="E9" s="7"/>
      <c r="F9" s="8"/>
      <c r="G9" s="9" t="s">
        <v>7</v>
      </c>
      <c r="H9" s="74">
        <v>21</v>
      </c>
      <c r="I9" s="10"/>
    </row>
    <row r="10" spans="1:9" x14ac:dyDescent="0.2">
      <c r="A10" s="5"/>
      <c r="B10" s="6" t="s">
        <v>8</v>
      </c>
      <c r="C10" s="293" t="s">
        <v>144</v>
      </c>
      <c r="D10" s="293"/>
      <c r="E10" s="7"/>
      <c r="F10" s="8"/>
      <c r="G10" s="9" t="s">
        <v>9</v>
      </c>
      <c r="H10" s="74">
        <v>1022</v>
      </c>
      <c r="I10" s="10"/>
    </row>
    <row r="11" spans="1:9" x14ac:dyDescent="0.2">
      <c r="A11" s="5"/>
      <c r="B11" s="6" t="s">
        <v>109</v>
      </c>
      <c r="C11" s="293" t="s">
        <v>142</v>
      </c>
      <c r="D11" s="293"/>
      <c r="E11" s="7"/>
      <c r="F11" s="8"/>
      <c r="G11" s="9" t="s">
        <v>10</v>
      </c>
      <c r="H11" s="74" t="s">
        <v>74</v>
      </c>
      <c r="I11" s="10"/>
    </row>
    <row r="12" spans="1:9" ht="5.0999999999999996" customHeight="1" x14ac:dyDescent="0.2"/>
    <row r="13" spans="1:9" s="13" customFormat="1" ht="15.75" customHeight="1" x14ac:dyDescent="0.2">
      <c r="A13" s="11" t="s">
        <v>56</v>
      </c>
      <c r="B13" s="12"/>
      <c r="C13" s="52" t="s">
        <v>58</v>
      </c>
      <c r="D13" s="52"/>
      <c r="E13" s="53"/>
      <c r="F13" s="54"/>
      <c r="G13" s="54"/>
    </row>
    <row r="14" spans="1:9" s="4" customFormat="1" ht="12" customHeight="1" x14ac:dyDescent="0.2">
      <c r="A14" s="4" t="s">
        <v>108</v>
      </c>
    </row>
    <row r="15" spans="1:9" s="14" customFormat="1" ht="12.95" customHeight="1" x14ac:dyDescent="0.2">
      <c r="A15" s="302" t="s">
        <v>11</v>
      </c>
      <c r="B15" s="303"/>
      <c r="C15" s="154" t="s">
        <v>12</v>
      </c>
      <c r="D15" s="304" t="s">
        <v>91</v>
      </c>
      <c r="E15" s="305"/>
      <c r="F15" s="305"/>
      <c r="G15" s="305"/>
      <c r="H15" s="306"/>
    </row>
    <row r="16" spans="1:9" s="14" customFormat="1" ht="12.95" customHeight="1" x14ac:dyDescent="0.2">
      <c r="A16" s="307" t="s">
        <v>92</v>
      </c>
      <c r="B16" s="308"/>
      <c r="C16" s="161" t="s">
        <v>105</v>
      </c>
      <c r="D16" s="273" t="s">
        <v>93</v>
      </c>
      <c r="E16" s="274"/>
      <c r="F16" s="275">
        <f>C5+120</f>
        <v>120</v>
      </c>
      <c r="G16" s="275" t="s">
        <v>21</v>
      </c>
      <c r="H16" s="276" t="s">
        <v>21</v>
      </c>
    </row>
    <row r="17" spans="1:10" s="4" customFormat="1" ht="12" customHeight="1" x14ac:dyDescent="0.2"/>
    <row r="18" spans="1:10" s="14" customFormat="1" ht="12.95" customHeight="1" x14ac:dyDescent="0.2">
      <c r="A18" s="98" t="s">
        <v>94</v>
      </c>
      <c r="B18" s="155" t="s">
        <v>95</v>
      </c>
      <c r="C18" s="156" t="s">
        <v>13</v>
      </c>
      <c r="D18" s="304" t="s">
        <v>91</v>
      </c>
      <c r="E18" s="305"/>
      <c r="F18" s="305"/>
      <c r="G18" s="305"/>
      <c r="H18" s="306"/>
    </row>
    <row r="19" spans="1:10" s="14" customFormat="1" ht="12.95" customHeight="1" x14ac:dyDescent="0.2">
      <c r="A19" s="157" t="s">
        <v>59</v>
      </c>
      <c r="B19" s="158" t="s">
        <v>14</v>
      </c>
      <c r="C19" s="159" t="s">
        <v>102</v>
      </c>
      <c r="D19" s="273" t="s">
        <v>101</v>
      </c>
      <c r="E19" s="274"/>
      <c r="F19" s="275" t="e">
        <f t="shared" ref="F19:F21" si="0">C8+120</f>
        <v>#VALUE!</v>
      </c>
      <c r="G19" s="275" t="s">
        <v>21</v>
      </c>
      <c r="H19" s="276" t="s">
        <v>21</v>
      </c>
    </row>
    <row r="20" spans="1:10" s="15" customFormat="1" ht="12.95" customHeight="1" x14ac:dyDescent="0.2">
      <c r="A20" s="157" t="s">
        <v>97</v>
      </c>
      <c r="B20" s="158" t="s">
        <v>14</v>
      </c>
      <c r="C20" s="151" t="s">
        <v>102</v>
      </c>
      <c r="D20" s="273" t="s">
        <v>101</v>
      </c>
      <c r="E20" s="274"/>
      <c r="F20" s="275" t="e">
        <f t="shared" si="0"/>
        <v>#VALUE!</v>
      </c>
      <c r="G20" s="275" t="s">
        <v>21</v>
      </c>
      <c r="H20" s="276" t="s">
        <v>21</v>
      </c>
    </row>
    <row r="21" spans="1:10" s="15" customFormat="1" ht="12.95" customHeight="1" x14ac:dyDescent="0.2">
      <c r="A21" s="157" t="s">
        <v>76</v>
      </c>
      <c r="B21" s="158" t="s">
        <v>14</v>
      </c>
      <c r="C21" s="151" t="s">
        <v>103</v>
      </c>
      <c r="D21" s="273" t="s">
        <v>104</v>
      </c>
      <c r="E21" s="274"/>
      <c r="F21" s="275" t="e">
        <f t="shared" si="0"/>
        <v>#VALUE!</v>
      </c>
      <c r="G21" s="275" t="s">
        <v>21</v>
      </c>
      <c r="H21" s="276" t="s">
        <v>21</v>
      </c>
    </row>
    <row r="22" spans="1:10" s="15" customFormat="1" ht="12.95" customHeight="1" x14ac:dyDescent="0.2">
      <c r="A22" s="157" t="s">
        <v>98</v>
      </c>
      <c r="B22" s="158" t="s">
        <v>14</v>
      </c>
      <c r="C22" s="151" t="s">
        <v>103</v>
      </c>
      <c r="D22" s="273" t="s">
        <v>104</v>
      </c>
      <c r="E22" s="274"/>
      <c r="F22" s="275" t="e">
        <f t="shared" ref="F22" si="1">C11+120</f>
        <v>#VALUE!</v>
      </c>
      <c r="G22" s="275" t="s">
        <v>21</v>
      </c>
      <c r="H22" s="276" t="s">
        <v>21</v>
      </c>
    </row>
    <row r="23" spans="1:10" s="15" customFormat="1" ht="12.95" customHeight="1" x14ac:dyDescent="0.2">
      <c r="A23" s="157" t="s">
        <v>99</v>
      </c>
      <c r="B23" s="158" t="s">
        <v>14</v>
      </c>
      <c r="C23" s="151" t="s">
        <v>96</v>
      </c>
      <c r="D23" s="273" t="s">
        <v>93</v>
      </c>
      <c r="E23" s="274"/>
      <c r="F23" s="275">
        <f t="shared" ref="F23:F24" si="2">C12+120</f>
        <v>120</v>
      </c>
      <c r="G23" s="275" t="s">
        <v>21</v>
      </c>
      <c r="H23" s="276" t="s">
        <v>21</v>
      </c>
    </row>
    <row r="24" spans="1:10" s="15" customFormat="1" ht="12.95" customHeight="1" x14ac:dyDescent="0.2">
      <c r="A24" s="157" t="s">
        <v>100</v>
      </c>
      <c r="B24" s="158" t="s">
        <v>14</v>
      </c>
      <c r="C24" s="151" t="s">
        <v>96</v>
      </c>
      <c r="D24" s="273" t="s">
        <v>93</v>
      </c>
      <c r="E24" s="274"/>
      <c r="F24" s="275" t="e">
        <f t="shared" si="2"/>
        <v>#VALUE!</v>
      </c>
      <c r="G24" s="275" t="s">
        <v>21</v>
      </c>
      <c r="H24" s="276" t="s">
        <v>21</v>
      </c>
    </row>
    <row r="25" spans="1:10" s="15" customFormat="1" ht="12.95" customHeight="1" x14ac:dyDescent="0.2">
      <c r="A25" s="157" t="s">
        <v>15</v>
      </c>
      <c r="B25" s="158" t="s">
        <v>14</v>
      </c>
      <c r="C25" s="151" t="s">
        <v>21</v>
      </c>
      <c r="D25" s="273" t="s">
        <v>93</v>
      </c>
      <c r="E25" s="274"/>
      <c r="F25" s="275">
        <f>C12+120</f>
        <v>120</v>
      </c>
      <c r="G25" s="275" t="s">
        <v>21</v>
      </c>
      <c r="H25" s="276" t="s">
        <v>21</v>
      </c>
    </row>
    <row r="26" spans="1:10" s="15" customFormat="1" ht="12.95" customHeight="1" x14ac:dyDescent="0.2">
      <c r="A26" s="160" t="s">
        <v>75</v>
      </c>
      <c r="B26" s="158" t="s">
        <v>14</v>
      </c>
      <c r="C26" s="151" t="s">
        <v>21</v>
      </c>
      <c r="D26" s="273" t="s">
        <v>93</v>
      </c>
      <c r="E26" s="274"/>
      <c r="F26" s="275" t="e">
        <f>C13+120</f>
        <v>#VALUE!</v>
      </c>
      <c r="G26" s="275" t="s">
        <v>21</v>
      </c>
      <c r="H26" s="276" t="s">
        <v>21</v>
      </c>
    </row>
    <row r="27" spans="1:10" s="16" customFormat="1" ht="3.95" customHeight="1" x14ac:dyDescent="0.2"/>
    <row r="28" spans="1:10" ht="12" customHeight="1" x14ac:dyDescent="0.2">
      <c r="A28" s="4" t="s">
        <v>107</v>
      </c>
    </row>
    <row r="29" spans="1:10" ht="24.75" customHeight="1" x14ac:dyDescent="0.2">
      <c r="A29" s="298" t="s">
        <v>64</v>
      </c>
      <c r="B29" s="299"/>
      <c r="C29" s="299"/>
      <c r="D29" s="299"/>
      <c r="E29" s="299"/>
      <c r="F29" s="299"/>
      <c r="G29" s="299"/>
      <c r="H29" s="300"/>
    </row>
    <row r="30" spans="1:10" s="4" customFormat="1" ht="12.75" customHeight="1" x14ac:dyDescent="0.2">
      <c r="A30" s="4" t="s">
        <v>57</v>
      </c>
    </row>
    <row r="31" spans="1:10" ht="20.100000000000001" customHeight="1" x14ac:dyDescent="0.2">
      <c r="A31" s="17" t="s">
        <v>11</v>
      </c>
      <c r="B31" s="295" t="s">
        <v>16</v>
      </c>
      <c r="C31" s="295"/>
      <c r="D31" s="17" t="s">
        <v>17</v>
      </c>
      <c r="E31" s="17" t="s">
        <v>18</v>
      </c>
      <c r="F31" s="296" t="s">
        <v>19</v>
      </c>
      <c r="G31" s="297"/>
      <c r="H31" s="98" t="s">
        <v>13</v>
      </c>
      <c r="I31" s="51"/>
      <c r="J31" s="31"/>
    </row>
    <row r="32" spans="1:10" ht="12.75" customHeight="1" x14ac:dyDescent="0.2">
      <c r="A32" s="56" t="s">
        <v>59</v>
      </c>
      <c r="B32" s="301" t="s">
        <v>20</v>
      </c>
      <c r="C32" s="301"/>
      <c r="D32" s="55" t="s">
        <v>67</v>
      </c>
      <c r="E32" s="71" t="s">
        <v>21</v>
      </c>
      <c r="F32" s="289" t="s">
        <v>22</v>
      </c>
      <c r="G32" s="289"/>
      <c r="H32" s="72"/>
      <c r="I32" s="10"/>
    </row>
    <row r="33" spans="1:9" ht="12.75" customHeight="1" x14ac:dyDescent="0.2">
      <c r="A33" s="57"/>
      <c r="B33" s="287" t="s">
        <v>23</v>
      </c>
      <c r="C33" s="287"/>
      <c r="D33" s="55" t="s">
        <v>67</v>
      </c>
      <c r="E33" s="71" t="s">
        <v>21</v>
      </c>
      <c r="F33" s="289" t="s">
        <v>22</v>
      </c>
      <c r="G33" s="289"/>
      <c r="H33" s="20"/>
      <c r="I33" s="10"/>
    </row>
    <row r="34" spans="1:9" ht="12.75" customHeight="1" x14ac:dyDescent="0.2">
      <c r="A34" s="57"/>
      <c r="B34" s="287" t="s">
        <v>24</v>
      </c>
      <c r="C34" s="287"/>
      <c r="D34" s="55" t="s">
        <v>67</v>
      </c>
      <c r="E34" s="71" t="s">
        <v>21</v>
      </c>
      <c r="F34" s="289" t="s">
        <v>22</v>
      </c>
      <c r="G34" s="289"/>
      <c r="H34" s="36"/>
      <c r="I34" s="10"/>
    </row>
    <row r="35" spans="1:9" ht="12.75" customHeight="1" x14ac:dyDescent="0.2">
      <c r="A35" s="23"/>
      <c r="B35" s="287" t="s">
        <v>25</v>
      </c>
      <c r="C35" s="287"/>
      <c r="D35" s="55" t="s">
        <v>67</v>
      </c>
      <c r="E35" s="71" t="s">
        <v>21</v>
      </c>
      <c r="F35" s="289" t="s">
        <v>60</v>
      </c>
      <c r="G35" s="289"/>
      <c r="H35" s="58"/>
      <c r="I35" s="10"/>
    </row>
    <row r="36" spans="1:9" ht="12.75" customHeight="1" x14ac:dyDescent="0.2">
      <c r="A36" s="23"/>
      <c r="B36" s="287" t="s">
        <v>27</v>
      </c>
      <c r="C36" s="287"/>
      <c r="D36" s="79" t="s">
        <v>69</v>
      </c>
      <c r="E36" s="64" t="s">
        <v>21</v>
      </c>
      <c r="F36" s="289" t="s">
        <v>22</v>
      </c>
      <c r="G36" s="289"/>
      <c r="H36" s="78"/>
      <c r="I36" s="10"/>
    </row>
    <row r="37" spans="1:9" ht="12.75" customHeight="1" x14ac:dyDescent="0.2">
      <c r="A37" s="23"/>
      <c r="B37" s="287" t="s">
        <v>28</v>
      </c>
      <c r="C37" s="287"/>
      <c r="D37" s="80" t="s">
        <v>53</v>
      </c>
      <c r="E37" s="64" t="s">
        <v>21</v>
      </c>
      <c r="F37" s="289" t="s">
        <v>22</v>
      </c>
      <c r="G37" s="289"/>
      <c r="H37" s="58"/>
      <c r="I37" s="10"/>
    </row>
    <row r="38" spans="1:9" ht="12.75" customHeight="1" x14ac:dyDescent="0.2">
      <c r="A38" s="23"/>
      <c r="B38" s="287" t="s">
        <v>29</v>
      </c>
      <c r="C38" s="287"/>
      <c r="D38" s="64" t="s">
        <v>30</v>
      </c>
      <c r="E38" s="64" t="s">
        <v>31</v>
      </c>
      <c r="F38" s="289" t="s">
        <v>77</v>
      </c>
      <c r="G38" s="289"/>
      <c r="H38" s="69"/>
      <c r="I38" s="10"/>
    </row>
    <row r="39" spans="1:9" ht="12.75" customHeight="1" x14ac:dyDescent="0.2">
      <c r="A39" s="23"/>
      <c r="B39" s="287" t="s">
        <v>32</v>
      </c>
      <c r="C39" s="287"/>
      <c r="D39" s="81" t="s">
        <v>33</v>
      </c>
      <c r="E39" s="82" t="s">
        <v>34</v>
      </c>
      <c r="F39" s="288" t="s">
        <v>21</v>
      </c>
      <c r="G39" s="288"/>
      <c r="H39" s="20"/>
      <c r="I39" s="10"/>
    </row>
    <row r="40" spans="1:9" ht="12.75" customHeight="1" x14ac:dyDescent="0.2">
      <c r="A40" s="29"/>
      <c r="B40" s="287" t="s">
        <v>35</v>
      </c>
      <c r="C40" s="287"/>
      <c r="D40" s="55" t="s">
        <v>67</v>
      </c>
      <c r="E40" s="71" t="s">
        <v>21</v>
      </c>
      <c r="F40" s="289" t="s">
        <v>22</v>
      </c>
      <c r="G40" s="289"/>
      <c r="H40" s="20"/>
      <c r="I40" s="10"/>
    </row>
    <row r="41" spans="1:9" ht="3.95" customHeight="1" x14ac:dyDescent="0.2">
      <c r="A41" s="290"/>
      <c r="B41" s="291"/>
      <c r="C41" s="291"/>
      <c r="D41" s="291"/>
      <c r="E41" s="291"/>
      <c r="F41" s="291"/>
      <c r="G41" s="291"/>
      <c r="H41" s="292"/>
      <c r="I41" s="31"/>
    </row>
    <row r="42" spans="1:9" ht="12.75" customHeight="1" x14ac:dyDescent="0.2">
      <c r="A42" s="21" t="s">
        <v>97</v>
      </c>
      <c r="B42" s="284" t="s">
        <v>20</v>
      </c>
      <c r="C42" s="284"/>
      <c r="D42" s="96" t="s">
        <v>67</v>
      </c>
      <c r="E42" s="59" t="s">
        <v>21</v>
      </c>
      <c r="F42" s="285" t="s">
        <v>22</v>
      </c>
      <c r="G42" s="285"/>
      <c r="H42" s="97"/>
      <c r="I42" s="10"/>
    </row>
    <row r="43" spans="1:9" ht="12.75" customHeight="1" x14ac:dyDescent="0.2">
      <c r="A43" s="21"/>
      <c r="B43" s="282" t="s">
        <v>23</v>
      </c>
      <c r="C43" s="282"/>
      <c r="D43" s="55" t="s">
        <v>67</v>
      </c>
      <c r="E43" s="19" t="s">
        <v>21</v>
      </c>
      <c r="F43" s="283" t="s">
        <v>22</v>
      </c>
      <c r="G43" s="283"/>
      <c r="H43" s="20"/>
      <c r="I43" s="10"/>
    </row>
    <row r="44" spans="1:9" ht="12.75" customHeight="1" x14ac:dyDescent="0.2">
      <c r="A44" s="22"/>
      <c r="B44" s="282" t="s">
        <v>24</v>
      </c>
      <c r="C44" s="282"/>
      <c r="D44" s="55" t="s">
        <v>67</v>
      </c>
      <c r="E44" s="19" t="s">
        <v>21</v>
      </c>
      <c r="F44" s="283" t="s">
        <v>22</v>
      </c>
      <c r="G44" s="283"/>
      <c r="H44" s="137"/>
      <c r="I44" s="10"/>
    </row>
    <row r="45" spans="1:9" ht="12.75" customHeight="1" x14ac:dyDescent="0.2">
      <c r="A45" s="23"/>
      <c r="B45" s="282" t="s">
        <v>25</v>
      </c>
      <c r="C45" s="282"/>
      <c r="D45" s="83" t="s">
        <v>26</v>
      </c>
      <c r="E45" s="19" t="s">
        <v>21</v>
      </c>
      <c r="F45" s="283" t="s">
        <v>61</v>
      </c>
      <c r="G45" s="283"/>
      <c r="H45" s="88"/>
      <c r="I45" s="10"/>
    </row>
    <row r="46" spans="1:9" ht="12.75" customHeight="1" x14ac:dyDescent="0.2">
      <c r="A46" s="23"/>
      <c r="B46" s="282" t="s">
        <v>27</v>
      </c>
      <c r="C46" s="282"/>
      <c r="D46" s="83" t="s">
        <v>70</v>
      </c>
      <c r="E46" s="85" t="s">
        <v>21</v>
      </c>
      <c r="F46" s="283" t="s">
        <v>22</v>
      </c>
      <c r="G46" s="283"/>
      <c r="H46" s="78"/>
      <c r="I46" s="10"/>
    </row>
    <row r="47" spans="1:9" ht="12.75" customHeight="1" x14ac:dyDescent="0.2">
      <c r="A47" s="23"/>
      <c r="B47" s="282" t="s">
        <v>28</v>
      </c>
      <c r="C47" s="282"/>
      <c r="D47" s="84" t="s">
        <v>53</v>
      </c>
      <c r="E47" s="85" t="s">
        <v>21</v>
      </c>
      <c r="F47" s="283" t="s">
        <v>22</v>
      </c>
      <c r="G47" s="283"/>
      <c r="H47" s="24"/>
      <c r="I47" s="10"/>
    </row>
    <row r="48" spans="1:9" ht="12.75" customHeight="1" x14ac:dyDescent="0.2">
      <c r="A48" s="23"/>
      <c r="B48" s="282" t="s">
        <v>32</v>
      </c>
      <c r="C48" s="282"/>
      <c r="D48" s="86" t="s">
        <v>33</v>
      </c>
      <c r="E48" s="85" t="s">
        <v>34</v>
      </c>
      <c r="F48" s="286" t="s">
        <v>21</v>
      </c>
      <c r="G48" s="286"/>
      <c r="H48" s="20"/>
      <c r="I48" s="10"/>
    </row>
    <row r="49" spans="1:9" ht="12.75" customHeight="1" x14ac:dyDescent="0.2">
      <c r="A49" s="23"/>
      <c r="B49" s="312" t="s">
        <v>35</v>
      </c>
      <c r="C49" s="312"/>
      <c r="D49" s="55" t="s">
        <v>67</v>
      </c>
      <c r="E49" s="25" t="s">
        <v>21</v>
      </c>
      <c r="F49" s="283" t="s">
        <v>22</v>
      </c>
      <c r="G49" s="283"/>
      <c r="H49" s="26"/>
      <c r="I49" s="10"/>
    </row>
    <row r="50" spans="1:9" ht="3.95" customHeight="1" x14ac:dyDescent="0.2">
      <c r="A50" s="347"/>
      <c r="B50" s="347"/>
      <c r="C50" s="347"/>
      <c r="D50" s="347"/>
      <c r="E50" s="347"/>
      <c r="F50" s="347"/>
      <c r="G50" s="347"/>
      <c r="H50" s="347"/>
      <c r="I50" s="10"/>
    </row>
    <row r="51" spans="1:9" ht="12.75" customHeight="1" x14ac:dyDescent="0.2">
      <c r="A51" s="18" t="s">
        <v>99</v>
      </c>
      <c r="B51" s="311" t="s">
        <v>20</v>
      </c>
      <c r="C51" s="311"/>
      <c r="D51" s="55" t="s">
        <v>67</v>
      </c>
      <c r="E51" s="19" t="s">
        <v>21</v>
      </c>
      <c r="F51" s="283" t="s">
        <v>22</v>
      </c>
      <c r="G51" s="283"/>
      <c r="H51" s="28"/>
      <c r="I51" s="10"/>
    </row>
    <row r="52" spans="1:9" ht="12.75" customHeight="1" x14ac:dyDescent="0.2">
      <c r="A52" s="359"/>
      <c r="B52" s="282" t="s">
        <v>23</v>
      </c>
      <c r="C52" s="282"/>
      <c r="D52" s="55" t="s">
        <v>67</v>
      </c>
      <c r="E52" s="19" t="s">
        <v>21</v>
      </c>
      <c r="F52" s="283" t="s">
        <v>22</v>
      </c>
      <c r="G52" s="283"/>
      <c r="H52" s="28"/>
      <c r="I52" s="10"/>
    </row>
    <row r="53" spans="1:9" ht="12.75" customHeight="1" x14ac:dyDescent="0.2">
      <c r="A53" s="359"/>
      <c r="B53" s="282" t="s">
        <v>24</v>
      </c>
      <c r="C53" s="282"/>
      <c r="D53" s="55" t="s">
        <v>67</v>
      </c>
      <c r="E53" s="19" t="s">
        <v>21</v>
      </c>
      <c r="F53" s="283" t="s">
        <v>22</v>
      </c>
      <c r="G53" s="283"/>
      <c r="H53" s="27"/>
      <c r="I53" s="10"/>
    </row>
    <row r="54" spans="1:9" ht="12.75" customHeight="1" x14ac:dyDescent="0.2">
      <c r="A54" s="23"/>
      <c r="B54" s="282" t="s">
        <v>25</v>
      </c>
      <c r="C54" s="282"/>
      <c r="D54" s="83" t="s">
        <v>26</v>
      </c>
      <c r="E54" s="19" t="s">
        <v>21</v>
      </c>
      <c r="F54" s="283" t="s">
        <v>61</v>
      </c>
      <c r="G54" s="283"/>
      <c r="H54" s="83" t="s">
        <v>68</v>
      </c>
      <c r="I54" s="10"/>
    </row>
    <row r="55" spans="1:9" ht="12.75" customHeight="1" x14ac:dyDescent="0.2">
      <c r="A55" s="23"/>
      <c r="B55" s="282" t="s">
        <v>27</v>
      </c>
      <c r="C55" s="282"/>
      <c r="D55" s="83" t="s">
        <v>71</v>
      </c>
      <c r="E55" s="85" t="s">
        <v>21</v>
      </c>
      <c r="F55" s="283" t="s">
        <v>22</v>
      </c>
      <c r="G55" s="283"/>
      <c r="H55" s="78"/>
      <c r="I55" s="10"/>
    </row>
    <row r="56" spans="1:9" ht="12.75" customHeight="1" x14ac:dyDescent="0.2">
      <c r="A56" s="23"/>
      <c r="B56" s="282" t="s">
        <v>28</v>
      </c>
      <c r="C56" s="282"/>
      <c r="D56" s="84" t="s">
        <v>53</v>
      </c>
      <c r="E56" s="85" t="s">
        <v>21</v>
      </c>
      <c r="F56" s="283" t="s">
        <v>22</v>
      </c>
      <c r="G56" s="283"/>
      <c r="H56" s="28"/>
      <c r="I56" s="10"/>
    </row>
    <row r="57" spans="1:9" ht="12.75" customHeight="1" x14ac:dyDescent="0.2">
      <c r="A57" s="23"/>
      <c r="B57" s="312" t="s">
        <v>32</v>
      </c>
      <c r="C57" s="312"/>
      <c r="D57" s="87" t="s">
        <v>33</v>
      </c>
      <c r="E57" s="63" t="s">
        <v>37</v>
      </c>
      <c r="F57" s="342" t="s">
        <v>21</v>
      </c>
      <c r="G57" s="342"/>
      <c r="H57" s="61"/>
      <c r="I57" s="10"/>
    </row>
    <row r="58" spans="1:9" ht="3.95" customHeight="1" x14ac:dyDescent="0.2">
      <c r="A58" s="279"/>
      <c r="B58" s="280"/>
      <c r="C58" s="280"/>
      <c r="D58" s="280"/>
      <c r="E58" s="280"/>
      <c r="F58" s="280"/>
      <c r="G58" s="280"/>
      <c r="H58" s="281"/>
      <c r="I58" s="10"/>
    </row>
    <row r="59" spans="1:9" ht="12.75" hidden="1" customHeight="1" x14ac:dyDescent="0.2">
      <c r="A59" s="60" t="s">
        <v>11</v>
      </c>
      <c r="B59" s="344" t="s">
        <v>16</v>
      </c>
      <c r="C59" s="344"/>
      <c r="D59" s="60" t="s">
        <v>17</v>
      </c>
      <c r="E59" s="60" t="s">
        <v>18</v>
      </c>
      <c r="F59" s="345" t="s">
        <v>19</v>
      </c>
      <c r="G59" s="345"/>
      <c r="H59" s="309" t="s">
        <v>13</v>
      </c>
      <c r="I59" s="310"/>
    </row>
    <row r="60" spans="1:9" ht="12.75" hidden="1" customHeight="1" x14ac:dyDescent="0.2">
      <c r="A60" s="18" t="e">
        <f>CONCATENATE(#REF!," ")</f>
        <v>#REF!</v>
      </c>
      <c r="B60" s="340" t="s">
        <v>35</v>
      </c>
      <c r="C60" s="340"/>
      <c r="D60" s="25" t="s">
        <v>36</v>
      </c>
      <c r="E60" s="25" t="s">
        <v>21</v>
      </c>
      <c r="F60" s="343" t="s">
        <v>22</v>
      </c>
      <c r="G60" s="343"/>
      <c r="H60" s="30"/>
      <c r="I60" s="10"/>
    </row>
    <row r="61" spans="1:9" ht="12.75" customHeight="1" x14ac:dyDescent="0.2">
      <c r="A61" s="56" t="s">
        <v>76</v>
      </c>
      <c r="B61" s="346" t="s">
        <v>20</v>
      </c>
      <c r="C61" s="346"/>
      <c r="D61" s="102" t="s">
        <v>67</v>
      </c>
      <c r="E61" s="103" t="s">
        <v>21</v>
      </c>
      <c r="F61" s="339" t="s">
        <v>22</v>
      </c>
      <c r="G61" s="339"/>
      <c r="H61" s="72"/>
      <c r="I61" s="104"/>
    </row>
    <row r="62" spans="1:9" ht="12.75" customHeight="1" x14ac:dyDescent="0.2">
      <c r="A62" s="57"/>
      <c r="B62" s="338" t="s">
        <v>23</v>
      </c>
      <c r="C62" s="338"/>
      <c r="D62" s="102" t="s">
        <v>67</v>
      </c>
      <c r="E62" s="103" t="s">
        <v>21</v>
      </c>
      <c r="F62" s="339" t="s">
        <v>22</v>
      </c>
      <c r="G62" s="339"/>
      <c r="H62" s="105"/>
      <c r="I62" s="104"/>
    </row>
    <row r="63" spans="1:9" ht="12.75" customHeight="1" x14ac:dyDescent="0.2">
      <c r="A63" s="57"/>
      <c r="B63" s="338" t="s">
        <v>24</v>
      </c>
      <c r="C63" s="338"/>
      <c r="D63" s="102" t="s">
        <v>67</v>
      </c>
      <c r="E63" s="103" t="s">
        <v>21</v>
      </c>
      <c r="F63" s="339" t="s">
        <v>22</v>
      </c>
      <c r="G63" s="339"/>
      <c r="H63" s="106"/>
      <c r="I63" s="104"/>
    </row>
    <row r="64" spans="1:9" ht="12.75" customHeight="1" x14ac:dyDescent="0.2">
      <c r="A64" s="23"/>
      <c r="B64" s="338" t="s">
        <v>25</v>
      </c>
      <c r="C64" s="338"/>
      <c r="D64" s="102" t="s">
        <v>67</v>
      </c>
      <c r="E64" s="103" t="s">
        <v>21</v>
      </c>
      <c r="F64" s="339" t="s">
        <v>60</v>
      </c>
      <c r="G64" s="339"/>
      <c r="H64" s="107"/>
      <c r="I64" s="104"/>
    </row>
    <row r="65" spans="1:10" ht="12.75" customHeight="1" x14ac:dyDescent="0.2">
      <c r="A65" s="23"/>
      <c r="B65" s="338" t="s">
        <v>27</v>
      </c>
      <c r="C65" s="338"/>
      <c r="D65" s="108" t="s">
        <v>69</v>
      </c>
      <c r="E65" s="109" t="s">
        <v>21</v>
      </c>
      <c r="F65" s="339" t="s">
        <v>22</v>
      </c>
      <c r="G65" s="339"/>
      <c r="H65" s="110"/>
      <c r="I65" s="104"/>
    </row>
    <row r="66" spans="1:10" ht="12.75" customHeight="1" x14ac:dyDescent="0.2">
      <c r="A66" s="23"/>
      <c r="B66" s="338" t="s">
        <v>28</v>
      </c>
      <c r="C66" s="338"/>
      <c r="D66" s="111" t="s">
        <v>53</v>
      </c>
      <c r="E66" s="109" t="s">
        <v>21</v>
      </c>
      <c r="F66" s="339" t="s">
        <v>22</v>
      </c>
      <c r="G66" s="339"/>
      <c r="H66" s="112"/>
      <c r="I66" s="104"/>
    </row>
    <row r="67" spans="1:10" ht="12.75" customHeight="1" x14ac:dyDescent="0.2">
      <c r="A67" s="23"/>
      <c r="B67" s="338" t="s">
        <v>29</v>
      </c>
      <c r="C67" s="338"/>
      <c r="D67" s="109" t="s">
        <v>30</v>
      </c>
      <c r="E67" s="109" t="s">
        <v>31</v>
      </c>
      <c r="F67" s="352" t="s">
        <v>77</v>
      </c>
      <c r="G67" s="352"/>
      <c r="H67" s="113"/>
      <c r="I67" s="104"/>
    </row>
    <row r="68" spans="1:10" ht="12.75" customHeight="1" x14ac:dyDescent="0.2">
      <c r="A68" s="23"/>
      <c r="B68" s="338" t="s">
        <v>32</v>
      </c>
      <c r="C68" s="338"/>
      <c r="D68" s="114" t="s">
        <v>33</v>
      </c>
      <c r="E68" s="115" t="s">
        <v>34</v>
      </c>
      <c r="F68" s="353" t="s">
        <v>21</v>
      </c>
      <c r="G68" s="353"/>
      <c r="H68" s="105"/>
      <c r="I68" s="104"/>
    </row>
    <row r="69" spans="1:10" ht="12.75" customHeight="1" x14ac:dyDescent="0.2">
      <c r="A69" s="116"/>
      <c r="B69" s="338" t="s">
        <v>35</v>
      </c>
      <c r="C69" s="338"/>
      <c r="D69" s="102" t="s">
        <v>67</v>
      </c>
      <c r="E69" s="103" t="s">
        <v>21</v>
      </c>
      <c r="F69" s="339" t="s">
        <v>22</v>
      </c>
      <c r="G69" s="339"/>
      <c r="H69" s="105"/>
      <c r="I69" s="104"/>
    </row>
    <row r="70" spans="1:10" ht="12.75" customHeight="1" x14ac:dyDescent="0.2">
      <c r="A70" s="163"/>
      <c r="B70" s="164"/>
      <c r="C70" s="164"/>
      <c r="D70" s="165"/>
      <c r="E70" s="166"/>
      <c r="F70" s="167"/>
      <c r="G70" s="167"/>
      <c r="H70" s="168"/>
      <c r="I70" s="31"/>
    </row>
    <row r="71" spans="1:10" ht="3.95" customHeight="1" x14ac:dyDescent="0.2">
      <c r="A71" s="348"/>
      <c r="B71" s="348"/>
      <c r="C71" s="348"/>
      <c r="D71" s="348"/>
      <c r="E71" s="348"/>
      <c r="F71" s="348"/>
      <c r="G71" s="348"/>
      <c r="H71" s="348"/>
      <c r="I71" s="31"/>
    </row>
    <row r="72" spans="1:10" ht="20.100000000000001" customHeight="1" x14ac:dyDescent="0.2">
      <c r="A72" s="150" t="s">
        <v>11</v>
      </c>
      <c r="B72" s="326" t="s">
        <v>16</v>
      </c>
      <c r="C72" s="326"/>
      <c r="D72" s="150" t="s">
        <v>17</v>
      </c>
      <c r="E72" s="150" t="s">
        <v>18</v>
      </c>
      <c r="F72" s="362" t="s">
        <v>19</v>
      </c>
      <c r="G72" s="363"/>
      <c r="H72" s="162" t="s">
        <v>13</v>
      </c>
      <c r="I72" s="98"/>
      <c r="J72" s="31"/>
    </row>
    <row r="73" spans="1:10" ht="12.75" customHeight="1" x14ac:dyDescent="0.2">
      <c r="A73" s="21" t="s">
        <v>98</v>
      </c>
      <c r="B73" s="349" t="s">
        <v>20</v>
      </c>
      <c r="C73" s="349"/>
      <c r="D73" s="117" t="s">
        <v>67</v>
      </c>
      <c r="E73" s="264" t="s">
        <v>21</v>
      </c>
      <c r="F73" s="350" t="s">
        <v>22</v>
      </c>
      <c r="G73" s="351"/>
      <c r="H73" s="97"/>
      <c r="I73" s="104"/>
    </row>
    <row r="74" spans="1:10" ht="12.75" customHeight="1" x14ac:dyDescent="0.2">
      <c r="A74" s="21"/>
      <c r="B74" s="354" t="s">
        <v>23</v>
      </c>
      <c r="C74" s="354"/>
      <c r="D74" s="102" t="s">
        <v>67</v>
      </c>
      <c r="E74" s="118" t="s">
        <v>21</v>
      </c>
      <c r="F74" s="285" t="s">
        <v>22</v>
      </c>
      <c r="G74" s="285"/>
      <c r="H74" s="105"/>
      <c r="I74" s="104"/>
    </row>
    <row r="75" spans="1:10" ht="12.75" customHeight="1" x14ac:dyDescent="0.2">
      <c r="A75" s="22"/>
      <c r="B75" s="354" t="s">
        <v>24</v>
      </c>
      <c r="C75" s="354"/>
      <c r="D75" s="102" t="s">
        <v>67</v>
      </c>
      <c r="E75" s="118" t="s">
        <v>21</v>
      </c>
      <c r="F75" s="322" t="s">
        <v>22</v>
      </c>
      <c r="G75" s="322"/>
      <c r="H75" s="137"/>
      <c r="I75" s="104"/>
    </row>
    <row r="76" spans="1:10" ht="12.75" customHeight="1" x14ac:dyDescent="0.2">
      <c r="A76" s="23"/>
      <c r="B76" s="354" t="s">
        <v>25</v>
      </c>
      <c r="C76" s="354"/>
      <c r="D76" s="119" t="s">
        <v>26</v>
      </c>
      <c r="E76" s="118" t="s">
        <v>21</v>
      </c>
      <c r="F76" s="322" t="s">
        <v>61</v>
      </c>
      <c r="G76" s="322"/>
      <c r="H76" s="120"/>
      <c r="I76" s="104"/>
    </row>
    <row r="77" spans="1:10" ht="12.75" customHeight="1" x14ac:dyDescent="0.2">
      <c r="A77" s="23"/>
      <c r="B77" s="354" t="s">
        <v>27</v>
      </c>
      <c r="C77" s="354"/>
      <c r="D77" s="119" t="s">
        <v>70</v>
      </c>
      <c r="E77" s="121" t="s">
        <v>21</v>
      </c>
      <c r="F77" s="322" t="s">
        <v>22</v>
      </c>
      <c r="G77" s="322"/>
      <c r="H77" s="110"/>
      <c r="I77" s="104"/>
    </row>
    <row r="78" spans="1:10" ht="12.75" customHeight="1" x14ac:dyDescent="0.2">
      <c r="A78" s="23"/>
      <c r="B78" s="354" t="s">
        <v>28</v>
      </c>
      <c r="C78" s="354"/>
      <c r="D78" s="122" t="s">
        <v>53</v>
      </c>
      <c r="E78" s="121" t="s">
        <v>21</v>
      </c>
      <c r="F78" s="322" t="s">
        <v>22</v>
      </c>
      <c r="G78" s="322"/>
      <c r="H78" s="123"/>
      <c r="I78" s="104"/>
    </row>
    <row r="79" spans="1:10" ht="12.75" customHeight="1" x14ac:dyDescent="0.2">
      <c r="A79" s="23"/>
      <c r="B79" s="354" t="s">
        <v>32</v>
      </c>
      <c r="C79" s="354"/>
      <c r="D79" s="124" t="s">
        <v>33</v>
      </c>
      <c r="E79" s="121" t="s">
        <v>34</v>
      </c>
      <c r="F79" s="357" t="s">
        <v>21</v>
      </c>
      <c r="G79" s="357"/>
      <c r="H79" s="105"/>
      <c r="I79" s="104"/>
    </row>
    <row r="80" spans="1:10" ht="12.75" customHeight="1" x14ac:dyDescent="0.2">
      <c r="A80" s="29"/>
      <c r="B80" s="354" t="s">
        <v>35</v>
      </c>
      <c r="C80" s="354"/>
      <c r="D80" s="102" t="s">
        <v>67</v>
      </c>
      <c r="E80" s="152" t="s">
        <v>21</v>
      </c>
      <c r="F80" s="322" t="s">
        <v>22</v>
      </c>
      <c r="G80" s="322"/>
      <c r="H80" s="105"/>
      <c r="I80" s="104"/>
    </row>
    <row r="81" spans="1:9" ht="3.95" customHeight="1" x14ac:dyDescent="0.2">
      <c r="A81" s="153"/>
      <c r="B81" s="169"/>
      <c r="C81" s="169"/>
      <c r="D81" s="170"/>
      <c r="E81" s="171"/>
      <c r="F81" s="172"/>
      <c r="G81" s="172"/>
      <c r="H81" s="173"/>
      <c r="I81" s="31"/>
    </row>
    <row r="82" spans="1:9" ht="12.75" customHeight="1" x14ac:dyDescent="0.2">
      <c r="A82" s="99" t="s">
        <v>100</v>
      </c>
      <c r="B82" s="361" t="s">
        <v>20</v>
      </c>
      <c r="C82" s="361"/>
      <c r="D82" s="102" t="s">
        <v>67</v>
      </c>
      <c r="E82" s="118" t="s">
        <v>21</v>
      </c>
      <c r="F82" s="322" t="s">
        <v>22</v>
      </c>
      <c r="G82" s="322"/>
      <c r="H82" s="138"/>
      <c r="I82" s="104"/>
    </row>
    <row r="83" spans="1:9" ht="12.75" customHeight="1" x14ac:dyDescent="0.2">
      <c r="A83" s="359"/>
      <c r="B83" s="354" t="s">
        <v>23</v>
      </c>
      <c r="C83" s="354"/>
      <c r="D83" s="102" t="s">
        <v>67</v>
      </c>
      <c r="E83" s="118" t="s">
        <v>21</v>
      </c>
      <c r="F83" s="322" t="s">
        <v>22</v>
      </c>
      <c r="G83" s="322"/>
      <c r="H83" s="138"/>
      <c r="I83" s="104"/>
    </row>
    <row r="84" spans="1:9" ht="12.75" customHeight="1" x14ac:dyDescent="0.2">
      <c r="A84" s="359"/>
      <c r="B84" s="354" t="s">
        <v>24</v>
      </c>
      <c r="C84" s="354"/>
      <c r="D84" s="102" t="s">
        <v>67</v>
      </c>
      <c r="E84" s="118" t="s">
        <v>21</v>
      </c>
      <c r="F84" s="322" t="s">
        <v>22</v>
      </c>
      <c r="G84" s="322"/>
      <c r="H84" s="139"/>
      <c r="I84" s="104"/>
    </row>
    <row r="85" spans="1:9" ht="12.75" customHeight="1" x14ac:dyDescent="0.2">
      <c r="A85" s="23"/>
      <c r="B85" s="354" t="s">
        <v>25</v>
      </c>
      <c r="C85" s="354"/>
      <c r="D85" s="119" t="s">
        <v>26</v>
      </c>
      <c r="E85" s="118" t="s">
        <v>21</v>
      </c>
      <c r="F85" s="322" t="s">
        <v>61</v>
      </c>
      <c r="G85" s="322"/>
      <c r="H85" s="119" t="s">
        <v>79</v>
      </c>
      <c r="I85" s="104"/>
    </row>
    <row r="86" spans="1:9" ht="12.75" customHeight="1" x14ac:dyDescent="0.2">
      <c r="A86" s="23"/>
      <c r="B86" s="354" t="s">
        <v>27</v>
      </c>
      <c r="C86" s="354"/>
      <c r="D86" s="119" t="s">
        <v>71</v>
      </c>
      <c r="E86" s="121" t="s">
        <v>21</v>
      </c>
      <c r="F86" s="322" t="s">
        <v>22</v>
      </c>
      <c r="G86" s="322"/>
      <c r="H86" s="110"/>
      <c r="I86" s="104"/>
    </row>
    <row r="87" spans="1:9" ht="12.75" customHeight="1" x14ac:dyDescent="0.2">
      <c r="A87" s="23"/>
      <c r="B87" s="354" t="s">
        <v>28</v>
      </c>
      <c r="C87" s="354"/>
      <c r="D87" s="122" t="s">
        <v>53</v>
      </c>
      <c r="E87" s="121" t="s">
        <v>21</v>
      </c>
      <c r="F87" s="322" t="s">
        <v>22</v>
      </c>
      <c r="G87" s="322"/>
      <c r="H87" s="138"/>
      <c r="I87" s="104"/>
    </row>
    <row r="88" spans="1:9" ht="12.75" customHeight="1" x14ac:dyDescent="0.2">
      <c r="A88" s="23"/>
      <c r="B88" s="355" t="s">
        <v>32</v>
      </c>
      <c r="C88" s="355"/>
      <c r="D88" s="140" t="s">
        <v>33</v>
      </c>
      <c r="E88" s="128" t="s">
        <v>37</v>
      </c>
      <c r="F88" s="356" t="s">
        <v>21</v>
      </c>
      <c r="G88" s="356"/>
      <c r="H88" s="61"/>
      <c r="I88" s="104"/>
    </row>
    <row r="89" spans="1:9" ht="3.95" customHeight="1" x14ac:dyDescent="0.2">
      <c r="A89" s="335"/>
      <c r="B89" s="336"/>
      <c r="C89" s="336"/>
      <c r="D89" s="336"/>
      <c r="E89" s="336"/>
      <c r="F89" s="336"/>
      <c r="G89" s="336"/>
      <c r="H89" s="337"/>
      <c r="I89" s="104"/>
    </row>
    <row r="90" spans="1:9" ht="12.75" customHeight="1" x14ac:dyDescent="0.2">
      <c r="A90" s="93" t="s">
        <v>15</v>
      </c>
      <c r="B90" s="332" t="s">
        <v>23</v>
      </c>
      <c r="C90" s="332"/>
      <c r="D90" s="94" t="s">
        <v>67</v>
      </c>
      <c r="E90" s="63" t="s">
        <v>21</v>
      </c>
      <c r="F90" s="333" t="s">
        <v>22</v>
      </c>
      <c r="G90" s="333"/>
      <c r="H90" s="70"/>
    </row>
    <row r="91" spans="1:9" ht="12.75" customHeight="1" x14ac:dyDescent="0.2">
      <c r="A91" s="360"/>
      <c r="B91" s="332" t="s">
        <v>24</v>
      </c>
      <c r="C91" s="332"/>
      <c r="D91" s="94" t="s">
        <v>67</v>
      </c>
      <c r="E91" s="63" t="s">
        <v>21</v>
      </c>
      <c r="F91" s="333" t="s">
        <v>22</v>
      </c>
      <c r="G91" s="333"/>
      <c r="H91" s="70"/>
    </row>
    <row r="92" spans="1:9" ht="12.75" customHeight="1" x14ac:dyDescent="0.2">
      <c r="A92" s="360"/>
      <c r="B92" s="332" t="s">
        <v>25</v>
      </c>
      <c r="C92" s="332"/>
      <c r="D92" s="63" t="s">
        <v>73</v>
      </c>
      <c r="E92" s="63" t="s">
        <v>21</v>
      </c>
      <c r="F92" s="333" t="s">
        <v>60</v>
      </c>
      <c r="G92" s="333"/>
      <c r="H92" s="90"/>
    </row>
    <row r="93" spans="1:9" ht="12.75" customHeight="1" x14ac:dyDescent="0.2">
      <c r="A93" s="89"/>
      <c r="B93" s="332" t="s">
        <v>27</v>
      </c>
      <c r="C93" s="332"/>
      <c r="D93" s="63" t="s">
        <v>65</v>
      </c>
      <c r="E93" s="63" t="s">
        <v>21</v>
      </c>
      <c r="F93" s="333" t="s">
        <v>22</v>
      </c>
      <c r="G93" s="333"/>
      <c r="H93" s="70"/>
    </row>
    <row r="94" spans="1:9" ht="12.75" customHeight="1" x14ac:dyDescent="0.2">
      <c r="A94" s="91"/>
      <c r="B94" s="341" t="s">
        <v>28</v>
      </c>
      <c r="C94" s="341"/>
      <c r="D94" s="84" t="s">
        <v>72</v>
      </c>
      <c r="E94" s="85" t="s">
        <v>21</v>
      </c>
      <c r="F94" s="333" t="s">
        <v>22</v>
      </c>
      <c r="G94" s="333"/>
      <c r="H94" s="92"/>
      <c r="I94" s="10"/>
    </row>
    <row r="95" spans="1:9" ht="12.75" customHeight="1" x14ac:dyDescent="0.2">
      <c r="A95" s="33"/>
      <c r="B95" s="314" t="s">
        <v>38</v>
      </c>
      <c r="C95" s="314"/>
      <c r="D95" s="19" t="s">
        <v>39</v>
      </c>
      <c r="E95" s="85" t="s">
        <v>40</v>
      </c>
      <c r="F95" s="334">
        <f>(G98+G99)/2</f>
        <v>2.9950000000000001</v>
      </c>
      <c r="G95" s="334"/>
      <c r="H95" s="32"/>
    </row>
    <row r="96" spans="1:9" ht="12.75" customHeight="1" x14ac:dyDescent="0.2">
      <c r="A96" s="33"/>
      <c r="B96" s="314" t="s">
        <v>41</v>
      </c>
      <c r="C96" s="314"/>
      <c r="D96" s="19" t="s">
        <v>42</v>
      </c>
      <c r="E96" s="63" t="s">
        <v>21</v>
      </c>
      <c r="F96" s="283" t="s">
        <v>22</v>
      </c>
      <c r="G96" s="283"/>
      <c r="H96" s="32"/>
    </row>
    <row r="97" spans="1:9" ht="12.75" customHeight="1" x14ac:dyDescent="0.2">
      <c r="A97" s="33"/>
      <c r="B97" s="314" t="s">
        <v>43</v>
      </c>
      <c r="C97" s="314"/>
      <c r="D97" s="34">
        <v>2.5</v>
      </c>
      <c r="E97" s="85" t="s">
        <v>44</v>
      </c>
      <c r="F97" s="39"/>
      <c r="G97" s="35">
        <v>2.4700000000000002</v>
      </c>
      <c r="H97" s="32"/>
    </row>
    <row r="98" spans="1:9" ht="12.75" customHeight="1" x14ac:dyDescent="0.2">
      <c r="A98" s="33"/>
      <c r="B98" s="314"/>
      <c r="C98" s="314"/>
      <c r="D98" s="34">
        <v>2.83</v>
      </c>
      <c r="E98" s="85" t="s">
        <v>44</v>
      </c>
      <c r="F98" s="39"/>
      <c r="G98" s="35">
        <v>2.84</v>
      </c>
      <c r="H98" s="32"/>
    </row>
    <row r="99" spans="1:9" ht="12.75" customHeight="1" x14ac:dyDescent="0.2">
      <c r="A99" s="33"/>
      <c r="B99" s="314"/>
      <c r="C99" s="314"/>
      <c r="D99" s="34">
        <v>3.16</v>
      </c>
      <c r="E99" s="85" t="s">
        <v>44</v>
      </c>
      <c r="F99" s="39"/>
      <c r="G99" s="35">
        <v>3.15</v>
      </c>
      <c r="H99" s="32"/>
    </row>
    <row r="100" spans="1:9" ht="12.75" customHeight="1" x14ac:dyDescent="0.2">
      <c r="A100" s="33"/>
      <c r="B100" s="314"/>
      <c r="C100" s="314"/>
      <c r="D100" s="34">
        <v>3.5</v>
      </c>
      <c r="E100" s="85" t="s">
        <v>44</v>
      </c>
      <c r="F100" s="39"/>
      <c r="G100" s="35">
        <v>3.6</v>
      </c>
      <c r="H100" s="32"/>
    </row>
    <row r="101" spans="1:9" ht="12.75" customHeight="1" x14ac:dyDescent="0.2">
      <c r="A101" s="33"/>
      <c r="B101" s="314" t="s">
        <v>45</v>
      </c>
      <c r="C101" s="314"/>
      <c r="D101" s="36" t="s">
        <v>46</v>
      </c>
      <c r="E101" s="63" t="s">
        <v>47</v>
      </c>
      <c r="F101" s="39"/>
      <c r="G101" s="35">
        <f>G98-G97</f>
        <v>0.36999999999999966</v>
      </c>
      <c r="H101" s="32"/>
    </row>
    <row r="102" spans="1:9" ht="12.75" customHeight="1" x14ac:dyDescent="0.2">
      <c r="A102" s="33"/>
      <c r="B102" s="314"/>
      <c r="C102" s="314"/>
      <c r="D102" s="36" t="s">
        <v>48</v>
      </c>
      <c r="E102" s="63" t="s">
        <v>47</v>
      </c>
      <c r="F102" s="39"/>
      <c r="G102" s="35">
        <f>G99-G98</f>
        <v>0.31000000000000005</v>
      </c>
      <c r="H102" s="32"/>
    </row>
    <row r="103" spans="1:9" ht="12.75" customHeight="1" x14ac:dyDescent="0.2">
      <c r="A103" s="33"/>
      <c r="B103" s="315"/>
      <c r="C103" s="315"/>
      <c r="D103" s="36" t="s">
        <v>49</v>
      </c>
      <c r="E103" s="63" t="s">
        <v>47</v>
      </c>
      <c r="F103" s="39"/>
      <c r="G103" s="35">
        <f>G100-G99</f>
        <v>0.45000000000000018</v>
      </c>
      <c r="H103" s="32"/>
    </row>
    <row r="104" spans="1:9" ht="12.75" customHeight="1" x14ac:dyDescent="0.2">
      <c r="A104" s="37"/>
      <c r="B104" s="316" t="s">
        <v>50</v>
      </c>
      <c r="C104" s="316"/>
      <c r="D104" s="38" t="s">
        <v>39</v>
      </c>
      <c r="E104" s="85" t="s">
        <v>44</v>
      </c>
      <c r="F104" s="283" t="s">
        <v>22</v>
      </c>
      <c r="G104" s="283"/>
      <c r="H104" s="70" t="s">
        <v>78</v>
      </c>
    </row>
    <row r="105" spans="1:9" ht="3.95" customHeight="1" x14ac:dyDescent="0.2">
      <c r="A105" s="335"/>
      <c r="B105" s="336"/>
      <c r="C105" s="336"/>
      <c r="D105" s="336"/>
      <c r="E105" s="336"/>
      <c r="F105" s="336"/>
      <c r="G105" s="336"/>
      <c r="H105" s="337"/>
      <c r="I105" s="104"/>
    </row>
    <row r="106" spans="1:9" ht="12.75" hidden="1" customHeight="1" x14ac:dyDescent="0.2">
      <c r="A106" s="125" t="s">
        <v>11</v>
      </c>
      <c r="B106" s="326" t="s">
        <v>16</v>
      </c>
      <c r="C106" s="326"/>
      <c r="D106" s="125" t="s">
        <v>17</v>
      </c>
      <c r="E106" s="125" t="s">
        <v>18</v>
      </c>
      <c r="F106" s="327" t="s">
        <v>19</v>
      </c>
      <c r="G106" s="327"/>
      <c r="H106" s="328" t="s">
        <v>13</v>
      </c>
      <c r="I106" s="329"/>
    </row>
    <row r="107" spans="1:9" ht="12.75" hidden="1" customHeight="1" x14ac:dyDescent="0.2">
      <c r="A107" s="99" t="str">
        <f>CONCATENATE(A64," ")</f>
        <v xml:space="preserve"> </v>
      </c>
      <c r="B107" s="330" t="s">
        <v>35</v>
      </c>
      <c r="C107" s="330"/>
      <c r="D107" s="100" t="s">
        <v>36</v>
      </c>
      <c r="E107" s="100" t="s">
        <v>21</v>
      </c>
      <c r="F107" s="331" t="s">
        <v>22</v>
      </c>
      <c r="G107" s="331"/>
      <c r="H107" s="101"/>
      <c r="I107" s="104"/>
    </row>
    <row r="108" spans="1:9" ht="12.75" customHeight="1" x14ac:dyDescent="0.2">
      <c r="A108" s="126" t="s">
        <v>75</v>
      </c>
      <c r="B108" s="318" t="s">
        <v>23</v>
      </c>
      <c r="C108" s="318"/>
      <c r="D108" s="127" t="s">
        <v>67</v>
      </c>
      <c r="E108" s="128" t="s">
        <v>21</v>
      </c>
      <c r="F108" s="317" t="s">
        <v>22</v>
      </c>
      <c r="G108" s="317"/>
      <c r="H108" s="129"/>
    </row>
    <row r="109" spans="1:9" ht="12.75" customHeight="1" x14ac:dyDescent="0.2">
      <c r="A109" s="95"/>
      <c r="B109" s="318" t="s">
        <v>24</v>
      </c>
      <c r="C109" s="318"/>
      <c r="D109" s="127" t="s">
        <v>67</v>
      </c>
      <c r="E109" s="128" t="s">
        <v>21</v>
      </c>
      <c r="F109" s="317" t="s">
        <v>22</v>
      </c>
      <c r="G109" s="317"/>
      <c r="H109" s="129"/>
    </row>
    <row r="110" spans="1:9" ht="12.75" customHeight="1" x14ac:dyDescent="0.2">
      <c r="A110" s="89"/>
      <c r="B110" s="318" t="s">
        <v>25</v>
      </c>
      <c r="C110" s="318"/>
      <c r="D110" s="128" t="s">
        <v>73</v>
      </c>
      <c r="E110" s="128" t="s">
        <v>21</v>
      </c>
      <c r="F110" s="317" t="s">
        <v>60</v>
      </c>
      <c r="G110" s="317"/>
      <c r="H110" s="130"/>
    </row>
    <row r="111" spans="1:9" ht="12.75" customHeight="1" x14ac:dyDescent="0.2">
      <c r="A111" s="89"/>
      <c r="B111" s="318" t="s">
        <v>27</v>
      </c>
      <c r="C111" s="318"/>
      <c r="D111" s="128" t="s">
        <v>65</v>
      </c>
      <c r="E111" s="128" t="s">
        <v>21</v>
      </c>
      <c r="F111" s="317" t="s">
        <v>22</v>
      </c>
      <c r="G111" s="317"/>
      <c r="H111" s="129"/>
    </row>
    <row r="112" spans="1:9" ht="12.75" customHeight="1" x14ac:dyDescent="0.2">
      <c r="A112" s="91"/>
      <c r="B112" s="319" t="s">
        <v>28</v>
      </c>
      <c r="C112" s="319"/>
      <c r="D112" s="122" t="s">
        <v>72</v>
      </c>
      <c r="E112" s="121" t="s">
        <v>21</v>
      </c>
      <c r="F112" s="317" t="s">
        <v>22</v>
      </c>
      <c r="G112" s="317"/>
      <c r="H112" s="131"/>
      <c r="I112" s="104"/>
    </row>
    <row r="113" spans="1:8" ht="12.75" customHeight="1" x14ac:dyDescent="0.2">
      <c r="A113" s="33"/>
      <c r="B113" s="320" t="s">
        <v>38</v>
      </c>
      <c r="C113" s="320"/>
      <c r="D113" s="118" t="s">
        <v>39</v>
      </c>
      <c r="E113" s="121" t="s">
        <v>40</v>
      </c>
      <c r="F113" s="321">
        <f>(G116+G117)/2</f>
        <v>2.99</v>
      </c>
      <c r="G113" s="321"/>
      <c r="H113" s="132"/>
    </row>
    <row r="114" spans="1:8" ht="12.75" customHeight="1" x14ac:dyDescent="0.2">
      <c r="A114" s="33"/>
      <c r="B114" s="320" t="s">
        <v>41</v>
      </c>
      <c r="C114" s="320"/>
      <c r="D114" s="118" t="s">
        <v>42</v>
      </c>
      <c r="E114" s="128" t="s">
        <v>21</v>
      </c>
      <c r="F114" s="322" t="s">
        <v>22</v>
      </c>
      <c r="G114" s="322"/>
      <c r="H114" s="132"/>
    </row>
    <row r="115" spans="1:8" ht="12.75" customHeight="1" x14ac:dyDescent="0.2">
      <c r="A115" s="33"/>
      <c r="B115" s="320" t="s">
        <v>43</v>
      </c>
      <c r="C115" s="320"/>
      <c r="D115" s="133">
        <v>2.5</v>
      </c>
      <c r="E115" s="121" t="s">
        <v>44</v>
      </c>
      <c r="F115" s="134"/>
      <c r="G115" s="135">
        <v>2.42</v>
      </c>
      <c r="H115" s="132"/>
    </row>
    <row r="116" spans="1:8" ht="12.75" customHeight="1" x14ac:dyDescent="0.2">
      <c r="A116" s="33"/>
      <c r="B116" s="320"/>
      <c r="C116" s="320"/>
      <c r="D116" s="133">
        <v>2.83</v>
      </c>
      <c r="E116" s="121" t="s">
        <v>44</v>
      </c>
      <c r="F116" s="134"/>
      <c r="G116" s="135">
        <v>2.78</v>
      </c>
      <c r="H116" s="132"/>
    </row>
    <row r="117" spans="1:8" ht="12.75" customHeight="1" x14ac:dyDescent="0.2">
      <c r="A117" s="33"/>
      <c r="B117" s="320"/>
      <c r="C117" s="320"/>
      <c r="D117" s="133">
        <v>3.16</v>
      </c>
      <c r="E117" s="121" t="s">
        <v>44</v>
      </c>
      <c r="F117" s="134"/>
      <c r="G117" s="135">
        <v>3.2</v>
      </c>
      <c r="H117" s="132"/>
    </row>
    <row r="118" spans="1:8" ht="12.75" customHeight="1" x14ac:dyDescent="0.2">
      <c r="A118" s="33"/>
      <c r="B118" s="320"/>
      <c r="C118" s="320"/>
      <c r="D118" s="133">
        <v>3.5</v>
      </c>
      <c r="E118" s="121" t="s">
        <v>44</v>
      </c>
      <c r="F118" s="134"/>
      <c r="G118" s="135">
        <v>3.57</v>
      </c>
      <c r="H118" s="132"/>
    </row>
    <row r="119" spans="1:8" ht="12.75" customHeight="1" x14ac:dyDescent="0.2">
      <c r="A119" s="33"/>
      <c r="B119" s="320" t="s">
        <v>45</v>
      </c>
      <c r="C119" s="320"/>
      <c r="D119" s="106" t="s">
        <v>46</v>
      </c>
      <c r="E119" s="128" t="s">
        <v>47</v>
      </c>
      <c r="F119" s="134"/>
      <c r="G119" s="135">
        <f>G116-G115</f>
        <v>0.35999999999999988</v>
      </c>
      <c r="H119" s="132"/>
    </row>
    <row r="120" spans="1:8" ht="12.75" customHeight="1" x14ac:dyDescent="0.2">
      <c r="A120" s="33"/>
      <c r="B120" s="320"/>
      <c r="C120" s="320"/>
      <c r="D120" s="106" t="s">
        <v>48</v>
      </c>
      <c r="E120" s="128" t="s">
        <v>47</v>
      </c>
      <c r="F120" s="134"/>
      <c r="G120" s="135">
        <f>G117-G116</f>
        <v>0.42000000000000037</v>
      </c>
      <c r="H120" s="132"/>
    </row>
    <row r="121" spans="1:8" ht="12.75" customHeight="1" x14ac:dyDescent="0.2">
      <c r="A121" s="33"/>
      <c r="B121" s="324"/>
      <c r="C121" s="324"/>
      <c r="D121" s="106" t="s">
        <v>49</v>
      </c>
      <c r="E121" s="128" t="s">
        <v>47</v>
      </c>
      <c r="F121" s="134"/>
      <c r="G121" s="135">
        <f>G118-G117</f>
        <v>0.36999999999999966</v>
      </c>
      <c r="H121" s="132"/>
    </row>
    <row r="122" spans="1:8" ht="12.75" customHeight="1" x14ac:dyDescent="0.2">
      <c r="A122" s="136"/>
      <c r="B122" s="325" t="s">
        <v>50</v>
      </c>
      <c r="C122" s="325"/>
      <c r="D122" s="137" t="s">
        <v>39</v>
      </c>
      <c r="E122" s="121" t="s">
        <v>44</v>
      </c>
      <c r="F122" s="283" t="s">
        <v>22</v>
      </c>
      <c r="G122" s="283"/>
      <c r="H122" s="70" t="s">
        <v>147</v>
      </c>
    </row>
    <row r="123" spans="1:8" x14ac:dyDescent="0.2">
      <c r="A123" s="4" t="s">
        <v>51</v>
      </c>
    </row>
    <row r="124" spans="1:8" ht="46.5" customHeight="1" x14ac:dyDescent="0.2">
      <c r="A124" s="323" t="s">
        <v>146</v>
      </c>
      <c r="B124" s="323"/>
      <c r="C124" s="323"/>
      <c r="D124" s="323"/>
      <c r="E124" s="323"/>
      <c r="F124" s="323"/>
      <c r="G124" s="323"/>
      <c r="H124" s="323"/>
    </row>
    <row r="125" spans="1:8" x14ac:dyDescent="0.2">
      <c r="A125" s="4" t="s">
        <v>80</v>
      </c>
    </row>
    <row r="126" spans="1:8" s="142" customFormat="1" ht="24.75" customHeight="1" x14ac:dyDescent="0.2">
      <c r="A126" s="141" t="s">
        <v>81</v>
      </c>
      <c r="B126" s="141" t="s">
        <v>82</v>
      </c>
      <c r="C126" s="141" t="s">
        <v>83</v>
      </c>
      <c r="D126" s="141" t="s">
        <v>84</v>
      </c>
      <c r="E126" s="141" t="s">
        <v>85</v>
      </c>
      <c r="F126" s="141" t="s">
        <v>86</v>
      </c>
      <c r="H126" s="142" t="s">
        <v>87</v>
      </c>
    </row>
    <row r="127" spans="1:8" x14ac:dyDescent="0.2">
      <c r="A127" s="143">
        <v>1</v>
      </c>
      <c r="B127" s="144">
        <v>45411</v>
      </c>
      <c r="C127" s="145" t="s">
        <v>88</v>
      </c>
      <c r="D127" s="146">
        <v>0.74305555555555547</v>
      </c>
      <c r="E127" s="146">
        <v>0.8125</v>
      </c>
      <c r="F127" s="146">
        <f>E127-D127</f>
        <v>6.9444444444444531E-2</v>
      </c>
    </row>
    <row r="128" spans="1:8" ht="20.25" customHeight="1" x14ac:dyDescent="0.2">
      <c r="A128" s="31"/>
      <c r="B128" s="31"/>
      <c r="C128" s="31"/>
      <c r="D128" s="31"/>
      <c r="E128" s="147" t="s">
        <v>89</v>
      </c>
      <c r="F128" s="148">
        <f>SUM(F127:F127)</f>
        <v>6.9444444444444531E-2</v>
      </c>
      <c r="G128" s="149"/>
      <c r="H128" s="31"/>
    </row>
    <row r="129" spans="1:8" ht="12.75" customHeight="1" x14ac:dyDescent="0.2">
      <c r="A129" s="313" t="s">
        <v>66</v>
      </c>
      <c r="B129" s="313"/>
      <c r="C129" s="313"/>
      <c r="D129" s="313"/>
      <c r="E129" s="313"/>
      <c r="F129" s="313"/>
      <c r="G129" s="313"/>
      <c r="H129" s="313"/>
    </row>
    <row r="130" spans="1:8" ht="15.75" x14ac:dyDescent="0.2">
      <c r="A130" s="40"/>
      <c r="B130" s="41"/>
      <c r="C130" s="42" t="s">
        <v>52</v>
      </c>
      <c r="D130" s="43"/>
      <c r="E130" s="44"/>
      <c r="F130" s="45"/>
      <c r="G130" s="45"/>
      <c r="H130" s="45"/>
    </row>
    <row r="131" spans="1:8" ht="15.75" x14ac:dyDescent="0.2">
      <c r="A131" s="46"/>
      <c r="B131" s="47"/>
      <c r="C131" s="48" t="s">
        <v>106</v>
      </c>
      <c r="D131" s="49"/>
      <c r="E131" s="50"/>
      <c r="F131" s="45"/>
      <c r="G131" s="45"/>
      <c r="H131" s="45"/>
    </row>
  </sheetData>
  <mergeCells count="189">
    <mergeCell ref="B3:G3"/>
    <mergeCell ref="F122:G122"/>
    <mergeCell ref="A52:A53"/>
    <mergeCell ref="A91:A92"/>
    <mergeCell ref="B82:C82"/>
    <mergeCell ref="F82:G82"/>
    <mergeCell ref="A83:A84"/>
    <mergeCell ref="B83:C83"/>
    <mergeCell ref="F83:G83"/>
    <mergeCell ref="B84:C84"/>
    <mergeCell ref="F84:G84"/>
    <mergeCell ref="B85:C85"/>
    <mergeCell ref="F85:G85"/>
    <mergeCell ref="B86:C86"/>
    <mergeCell ref="F86:G86"/>
    <mergeCell ref="B116:C116"/>
    <mergeCell ref="B117:C117"/>
    <mergeCell ref="B118:C118"/>
    <mergeCell ref="B119:C119"/>
    <mergeCell ref="B120:C120"/>
    <mergeCell ref="B80:C80"/>
    <mergeCell ref="F80:G80"/>
    <mergeCell ref="B72:C72"/>
    <mergeCell ref="F72:G72"/>
    <mergeCell ref="B74:C74"/>
    <mergeCell ref="F74:G74"/>
    <mergeCell ref="B75:C75"/>
    <mergeCell ref="F75:G75"/>
    <mergeCell ref="B76:C76"/>
    <mergeCell ref="F76:G76"/>
    <mergeCell ref="B90:C90"/>
    <mergeCell ref="F90:G90"/>
    <mergeCell ref="B87:C87"/>
    <mergeCell ref="F87:G87"/>
    <mergeCell ref="B88:C88"/>
    <mergeCell ref="F88:G88"/>
    <mergeCell ref="A89:H89"/>
    <mergeCell ref="B77:C77"/>
    <mergeCell ref="F77:G77"/>
    <mergeCell ref="B78:C78"/>
    <mergeCell ref="F78:G78"/>
    <mergeCell ref="B79:C79"/>
    <mergeCell ref="F79:G79"/>
    <mergeCell ref="B69:C69"/>
    <mergeCell ref="F69:G69"/>
    <mergeCell ref="A71:H71"/>
    <mergeCell ref="B73:C73"/>
    <mergeCell ref="F73:G73"/>
    <mergeCell ref="B66:C66"/>
    <mergeCell ref="F66:G66"/>
    <mergeCell ref="B67:C67"/>
    <mergeCell ref="F67:G67"/>
    <mergeCell ref="B68:C68"/>
    <mergeCell ref="F68:G68"/>
    <mergeCell ref="B49:C49"/>
    <mergeCell ref="F49:G49"/>
    <mergeCell ref="A50:H50"/>
    <mergeCell ref="F47:G47"/>
    <mergeCell ref="B44:C44"/>
    <mergeCell ref="F44:G44"/>
    <mergeCell ref="B45:C45"/>
    <mergeCell ref="F45:G45"/>
    <mergeCell ref="B37:C37"/>
    <mergeCell ref="F37:G37"/>
    <mergeCell ref="B38:C38"/>
    <mergeCell ref="F38:G38"/>
    <mergeCell ref="B64:C64"/>
    <mergeCell ref="F64:G64"/>
    <mergeCell ref="B65:C65"/>
    <mergeCell ref="F65:G65"/>
    <mergeCell ref="B60:C60"/>
    <mergeCell ref="F53:G53"/>
    <mergeCell ref="B94:C94"/>
    <mergeCell ref="F94:G94"/>
    <mergeCell ref="B91:C91"/>
    <mergeCell ref="F91:G91"/>
    <mergeCell ref="B92:C92"/>
    <mergeCell ref="F92:G92"/>
    <mergeCell ref="B54:C54"/>
    <mergeCell ref="F54:G54"/>
    <mergeCell ref="F57:G57"/>
    <mergeCell ref="F60:G60"/>
    <mergeCell ref="B59:C59"/>
    <mergeCell ref="F59:G59"/>
    <mergeCell ref="B61:C61"/>
    <mergeCell ref="F61:G61"/>
    <mergeCell ref="B62:C62"/>
    <mergeCell ref="F62:G62"/>
    <mergeCell ref="B63:C63"/>
    <mergeCell ref="F63:G63"/>
    <mergeCell ref="B106:C106"/>
    <mergeCell ref="F106:G106"/>
    <mergeCell ref="H106:I106"/>
    <mergeCell ref="B107:C107"/>
    <mergeCell ref="F107:G107"/>
    <mergeCell ref="B97:C97"/>
    <mergeCell ref="B98:C98"/>
    <mergeCell ref="B93:C93"/>
    <mergeCell ref="F93:G93"/>
    <mergeCell ref="B99:C99"/>
    <mergeCell ref="B95:C95"/>
    <mergeCell ref="F95:G95"/>
    <mergeCell ref="B100:C100"/>
    <mergeCell ref="B96:C96"/>
    <mergeCell ref="F96:G96"/>
    <mergeCell ref="A105:H105"/>
    <mergeCell ref="A129:H129"/>
    <mergeCell ref="B101:C101"/>
    <mergeCell ref="B102:C102"/>
    <mergeCell ref="B103:C103"/>
    <mergeCell ref="B104:C104"/>
    <mergeCell ref="F104:G104"/>
    <mergeCell ref="F110:G110"/>
    <mergeCell ref="B111:C111"/>
    <mergeCell ref="F111:G111"/>
    <mergeCell ref="B112:C112"/>
    <mergeCell ref="F112:G112"/>
    <mergeCell ref="B113:C113"/>
    <mergeCell ref="F113:G113"/>
    <mergeCell ref="B114:C114"/>
    <mergeCell ref="F114:G114"/>
    <mergeCell ref="B115:C115"/>
    <mergeCell ref="A124:H124"/>
    <mergeCell ref="B108:C108"/>
    <mergeCell ref="F108:G108"/>
    <mergeCell ref="B109:C109"/>
    <mergeCell ref="F109:G109"/>
    <mergeCell ref="B110:C110"/>
    <mergeCell ref="B121:C121"/>
    <mergeCell ref="B122:C122"/>
    <mergeCell ref="H59:I59"/>
    <mergeCell ref="B51:C51"/>
    <mergeCell ref="F51:G51"/>
    <mergeCell ref="B52:C52"/>
    <mergeCell ref="F52:G52"/>
    <mergeCell ref="B53:C53"/>
    <mergeCell ref="B56:C56"/>
    <mergeCell ref="F56:G56"/>
    <mergeCell ref="B57:C57"/>
    <mergeCell ref="B55:C55"/>
    <mergeCell ref="F55:G55"/>
    <mergeCell ref="C7:D7"/>
    <mergeCell ref="C8:D8"/>
    <mergeCell ref="C9:D9"/>
    <mergeCell ref="C10:D10"/>
    <mergeCell ref="B34:C34"/>
    <mergeCell ref="F34:G34"/>
    <mergeCell ref="B35:C35"/>
    <mergeCell ref="F36:G36"/>
    <mergeCell ref="F35:G35"/>
    <mergeCell ref="B36:C36"/>
    <mergeCell ref="B31:C31"/>
    <mergeCell ref="F31:G31"/>
    <mergeCell ref="A29:H29"/>
    <mergeCell ref="B33:C33"/>
    <mergeCell ref="F33:G33"/>
    <mergeCell ref="B32:C32"/>
    <mergeCell ref="F32:G32"/>
    <mergeCell ref="A15:B15"/>
    <mergeCell ref="D15:H15"/>
    <mergeCell ref="A16:B16"/>
    <mergeCell ref="D16:H16"/>
    <mergeCell ref="D18:H18"/>
    <mergeCell ref="D19:H19"/>
    <mergeCell ref="D20:H20"/>
    <mergeCell ref="D21:H21"/>
    <mergeCell ref="D22:H22"/>
    <mergeCell ref="D25:H25"/>
    <mergeCell ref="D26:H26"/>
    <mergeCell ref="D23:H23"/>
    <mergeCell ref="D24:H24"/>
    <mergeCell ref="A2:H2"/>
    <mergeCell ref="A58:H58"/>
    <mergeCell ref="B43:C43"/>
    <mergeCell ref="F43:G43"/>
    <mergeCell ref="B42:C42"/>
    <mergeCell ref="F42:G42"/>
    <mergeCell ref="B48:C48"/>
    <mergeCell ref="F48:G48"/>
    <mergeCell ref="B46:C46"/>
    <mergeCell ref="F46:G46"/>
    <mergeCell ref="B47:C47"/>
    <mergeCell ref="B39:C39"/>
    <mergeCell ref="F39:G39"/>
    <mergeCell ref="B40:C40"/>
    <mergeCell ref="F40:G40"/>
    <mergeCell ref="A41:H41"/>
    <mergeCell ref="C11:D11"/>
    <mergeCell ref="C6:D6"/>
  </mergeCells>
  <phoneticPr fontId="0" type="noConversion"/>
  <pageMargins left="0.70972222222222225" right="0.4" top="0.25" bottom="0" header="0.39" footer="0.51180555555555562"/>
  <pageSetup paperSize="9" scale="95" firstPageNumber="0" orientation="portrait" r:id="rId1"/>
  <headerFooter alignWithMargins="0"/>
  <rowBreaks count="2" manualBreakCount="2">
    <brk id="70" max="8" man="1"/>
    <brk id="13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view="pageBreakPreview" zoomScale="90" zoomScaleNormal="100" zoomScaleSheetLayoutView="90" workbookViewId="0">
      <selection activeCell="N33" sqref="N33"/>
    </sheetView>
  </sheetViews>
  <sheetFormatPr defaultRowHeight="15" x14ac:dyDescent="0.25"/>
  <cols>
    <col min="1" max="1" width="14" style="174" customWidth="1"/>
    <col min="2" max="2" width="9.140625" style="174" customWidth="1"/>
    <col min="3" max="3" width="7.85546875" style="174" customWidth="1"/>
    <col min="4" max="6" width="9.140625" style="174"/>
    <col min="7" max="7" width="9.140625" style="174" customWidth="1"/>
    <col min="8" max="10" width="9.140625" style="174"/>
    <col min="11" max="11" width="5.85546875" style="174" customWidth="1"/>
    <col min="12" max="16384" width="9.140625" style="174"/>
  </cols>
  <sheetData>
    <row r="1" spans="1:12" ht="20.100000000000001" customHeight="1" x14ac:dyDescent="0.25"/>
    <row r="2" spans="1:12" ht="39.950000000000003" customHeight="1" x14ac:dyDescent="0.25"/>
    <row r="3" spans="1:12" ht="20.100000000000001" customHeight="1" x14ac:dyDescent="0.25"/>
    <row r="4" spans="1:12" s="177" customFormat="1" ht="18" customHeight="1" x14ac:dyDescent="0.25">
      <c r="A4" s="381" t="s">
        <v>110</v>
      </c>
      <c r="B4" s="381"/>
      <c r="C4" s="381"/>
      <c r="D4" s="381"/>
      <c r="E4" s="381"/>
      <c r="F4" s="381"/>
      <c r="G4" s="381"/>
      <c r="H4" s="381"/>
      <c r="I4" s="175" t="s">
        <v>148</v>
      </c>
      <c r="J4" s="176"/>
      <c r="L4" s="178"/>
    </row>
    <row r="5" spans="1:12" s="177" customFormat="1" ht="25.5" customHeight="1" x14ac:dyDescent="0.25">
      <c r="A5" s="382" t="s">
        <v>111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178"/>
    </row>
    <row r="6" spans="1:12" s="177" customFormat="1" ht="18" customHeight="1" thickBot="1" x14ac:dyDescent="0.3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8"/>
    </row>
    <row r="7" spans="1:12" ht="15.75" x14ac:dyDescent="0.25">
      <c r="A7" s="180" t="s">
        <v>112</v>
      </c>
      <c r="B7" s="383">
        <v>22</v>
      </c>
      <c r="C7" s="384"/>
    </row>
    <row r="8" spans="1:12" ht="16.5" thickBot="1" x14ac:dyDescent="0.3">
      <c r="A8" s="181" t="s">
        <v>113</v>
      </c>
      <c r="B8" s="385" t="s">
        <v>114</v>
      </c>
      <c r="C8" s="386"/>
    </row>
    <row r="9" spans="1:12" ht="8.25" customHeight="1" x14ac:dyDescent="0.25">
      <c r="A9" s="182"/>
      <c r="B9" s="182"/>
      <c r="C9" s="183"/>
    </row>
    <row r="10" spans="1:12" ht="15.75" thickBot="1" x14ac:dyDescent="0.3">
      <c r="A10" s="387" t="s">
        <v>115</v>
      </c>
      <c r="B10" s="387"/>
      <c r="C10" s="387"/>
      <c r="D10" s="387"/>
      <c r="E10" s="387"/>
      <c r="F10" s="387"/>
      <c r="G10" s="387"/>
      <c r="H10" s="387"/>
      <c r="I10" s="387"/>
      <c r="J10" s="387"/>
      <c r="K10" s="387"/>
    </row>
    <row r="11" spans="1:12" ht="15.75" thickBot="1" x14ac:dyDescent="0.3">
      <c r="A11" s="184" t="s">
        <v>11</v>
      </c>
      <c r="B11" s="377" t="s">
        <v>116</v>
      </c>
      <c r="C11" s="378"/>
      <c r="D11" s="379" t="s">
        <v>19</v>
      </c>
      <c r="E11" s="380"/>
    </row>
    <row r="12" spans="1:12" x14ac:dyDescent="0.25">
      <c r="A12" s="185" t="s">
        <v>117</v>
      </c>
      <c r="B12" s="373">
        <v>0.85</v>
      </c>
      <c r="C12" s="374"/>
      <c r="D12" s="375">
        <f>SUM(100-((B56/A56)*100))</f>
        <v>100</v>
      </c>
      <c r="E12" s="376"/>
    </row>
    <row r="13" spans="1:12" x14ac:dyDescent="0.25">
      <c r="A13" s="186" t="s">
        <v>118</v>
      </c>
      <c r="B13" s="364">
        <v>0.85</v>
      </c>
      <c r="C13" s="365"/>
      <c r="D13" s="366">
        <f>SUM(100-((B57/A57)*100))</f>
        <v>100</v>
      </c>
      <c r="E13" s="367"/>
    </row>
    <row r="14" spans="1:12" x14ac:dyDescent="0.25">
      <c r="A14" s="186" t="s">
        <v>119</v>
      </c>
      <c r="B14" s="364">
        <v>0.85</v>
      </c>
      <c r="C14" s="365"/>
      <c r="D14" s="366">
        <f>SUM(100-((B40/A40)*100))</f>
        <v>100</v>
      </c>
      <c r="E14" s="367"/>
    </row>
    <row r="15" spans="1:12" x14ac:dyDescent="0.25">
      <c r="A15" s="186" t="s">
        <v>121</v>
      </c>
      <c r="B15" s="364">
        <v>0.85</v>
      </c>
      <c r="C15" s="365"/>
      <c r="D15" s="366">
        <f>SUM(100-((B38/A38)*100))</f>
        <v>94.382022471910119</v>
      </c>
      <c r="E15" s="367"/>
    </row>
    <row r="16" spans="1:12" ht="15.75" thickBot="1" x14ac:dyDescent="0.3">
      <c r="A16" s="189" t="s">
        <v>122</v>
      </c>
      <c r="B16" s="368">
        <v>0.85</v>
      </c>
      <c r="C16" s="369"/>
      <c r="D16" s="370">
        <f>SUM(100-((B19/A19)*100))</f>
        <v>100</v>
      </c>
      <c r="E16" s="371"/>
    </row>
    <row r="17" spans="1:10" ht="15.75" thickBot="1" x14ac:dyDescent="0.3"/>
    <row r="18" spans="1:10" ht="15.75" thickBot="1" x14ac:dyDescent="0.3">
      <c r="A18" s="190" t="s">
        <v>123</v>
      </c>
      <c r="B18" s="191" t="s">
        <v>124</v>
      </c>
    </row>
    <row r="19" spans="1:10" ht="12" customHeight="1" thickBot="1" x14ac:dyDescent="0.3">
      <c r="A19" s="189">
        <v>8</v>
      </c>
      <c r="B19" s="192">
        <v>0</v>
      </c>
      <c r="C19" s="174" t="s">
        <v>122</v>
      </c>
      <c r="D19" s="243"/>
      <c r="E19" s="193"/>
      <c r="F19" s="245"/>
      <c r="G19" s="246"/>
      <c r="H19" s="194"/>
      <c r="I19" s="196"/>
      <c r="J19" s="244"/>
    </row>
    <row r="20" spans="1:10" ht="12" customHeight="1" thickBot="1" x14ac:dyDescent="0.3">
      <c r="A20" s="197"/>
      <c r="B20" s="198"/>
      <c r="D20" s="199"/>
      <c r="E20" s="199"/>
      <c r="F20" s="199"/>
      <c r="G20" s="199"/>
      <c r="H20" s="199"/>
      <c r="I20" s="199"/>
      <c r="J20" s="199"/>
    </row>
    <row r="21" spans="1:10" ht="12" customHeight="1" x14ac:dyDescent="0.25">
      <c r="A21" s="200"/>
      <c r="B21" s="201"/>
      <c r="D21" s="199"/>
      <c r="E21" s="204"/>
      <c r="F21" s="202"/>
      <c r="G21" s="202"/>
      <c r="H21" s="199"/>
      <c r="I21" s="204"/>
      <c r="J21" s="199"/>
    </row>
    <row r="22" spans="1:10" ht="12" customHeight="1" x14ac:dyDescent="0.25">
      <c r="A22" s="200"/>
      <c r="B22" s="201"/>
      <c r="D22" s="199"/>
      <c r="E22" s="205"/>
      <c r="F22" s="202"/>
      <c r="G22" s="202"/>
      <c r="H22" s="199"/>
      <c r="I22" s="205"/>
      <c r="J22" s="199"/>
    </row>
    <row r="23" spans="1:10" ht="12" customHeight="1" x14ac:dyDescent="0.25">
      <c r="A23" s="200"/>
      <c r="B23" s="201"/>
      <c r="D23" s="199"/>
      <c r="E23" s="205"/>
      <c r="F23" s="202"/>
      <c r="G23" s="202"/>
      <c r="H23" s="199"/>
      <c r="I23" s="205"/>
      <c r="J23" s="199"/>
    </row>
    <row r="24" spans="1:10" ht="12" customHeight="1" x14ac:dyDescent="0.25">
      <c r="A24" s="200"/>
      <c r="B24" s="201"/>
      <c r="D24" s="199"/>
      <c r="E24" s="205"/>
      <c r="F24" s="202"/>
      <c r="G24" s="202"/>
      <c r="H24" s="199"/>
      <c r="I24" s="205"/>
      <c r="J24" s="199"/>
    </row>
    <row r="25" spans="1:10" ht="12" customHeight="1" x14ac:dyDescent="0.25">
      <c r="A25" s="200"/>
      <c r="B25" s="201"/>
      <c r="D25" s="199"/>
      <c r="E25" s="205"/>
      <c r="F25" s="202"/>
      <c r="G25" s="202"/>
      <c r="H25" s="199"/>
      <c r="I25" s="205" t="s">
        <v>125</v>
      </c>
      <c r="J25" s="199"/>
    </row>
    <row r="26" spans="1:10" ht="12" customHeight="1" x14ac:dyDescent="0.25">
      <c r="A26" s="200"/>
      <c r="B26" s="201"/>
      <c r="D26" s="199"/>
      <c r="E26" s="207"/>
      <c r="F26" s="202"/>
      <c r="G26" s="202"/>
      <c r="H26" s="199"/>
      <c r="I26" s="207"/>
      <c r="J26" s="199"/>
    </row>
    <row r="27" spans="1:10" ht="12" customHeight="1" x14ac:dyDescent="0.25">
      <c r="A27" s="200"/>
      <c r="B27" s="201"/>
      <c r="D27" s="199"/>
      <c r="E27" s="266"/>
      <c r="F27" s="202"/>
      <c r="G27" s="202"/>
      <c r="H27" s="199"/>
      <c r="I27" s="208" t="s">
        <v>125</v>
      </c>
      <c r="J27" s="199"/>
    </row>
    <row r="28" spans="1:10" ht="12" customHeight="1" x14ac:dyDescent="0.25">
      <c r="A28" s="200"/>
      <c r="B28" s="201"/>
      <c r="D28" s="199"/>
      <c r="E28" s="406" t="s">
        <v>125</v>
      </c>
      <c r="F28" s="202"/>
      <c r="G28" s="202"/>
      <c r="H28" s="199"/>
      <c r="I28" s="208"/>
      <c r="J28" s="199"/>
    </row>
    <row r="29" spans="1:10" ht="12" customHeight="1" x14ac:dyDescent="0.25">
      <c r="A29" s="200"/>
      <c r="B29" s="201"/>
      <c r="D29" s="199"/>
      <c r="E29" s="208"/>
      <c r="F29" s="202"/>
      <c r="G29" s="202"/>
      <c r="H29" s="199"/>
      <c r="I29" s="208"/>
      <c r="J29" s="199"/>
    </row>
    <row r="30" spans="1:10" ht="12" customHeight="1" x14ac:dyDescent="0.25">
      <c r="A30" s="200"/>
      <c r="B30" s="201"/>
      <c r="D30" s="199"/>
      <c r="E30" s="208"/>
      <c r="F30" s="202"/>
      <c r="G30" s="202"/>
      <c r="H30" s="199"/>
      <c r="I30" s="208"/>
      <c r="J30" s="199"/>
    </row>
    <row r="31" spans="1:10" ht="12" customHeight="1" x14ac:dyDescent="0.25">
      <c r="A31" s="200"/>
      <c r="B31" s="201"/>
      <c r="D31" s="199"/>
      <c r="E31" s="208"/>
      <c r="F31" s="202"/>
      <c r="G31" s="202"/>
      <c r="H31" s="199"/>
      <c r="I31" s="208"/>
      <c r="J31" s="199"/>
    </row>
    <row r="32" spans="1:10" ht="12" customHeight="1" x14ac:dyDescent="0.25">
      <c r="A32" s="200"/>
      <c r="B32" s="201"/>
      <c r="D32" s="199"/>
      <c r="E32" s="208"/>
      <c r="F32" s="202"/>
      <c r="G32" s="202"/>
      <c r="H32" s="199"/>
      <c r="I32" s="208"/>
      <c r="J32" s="199"/>
    </row>
    <row r="33" spans="1:10" ht="12" customHeight="1" x14ac:dyDescent="0.25">
      <c r="A33" s="200"/>
      <c r="B33" s="201"/>
      <c r="D33" s="199"/>
      <c r="E33" s="208"/>
      <c r="F33" s="202"/>
      <c r="G33" s="202"/>
      <c r="H33" s="199"/>
      <c r="I33" s="406" t="s">
        <v>125</v>
      </c>
      <c r="J33" s="199"/>
    </row>
    <row r="34" spans="1:10" ht="12" customHeight="1" x14ac:dyDescent="0.25">
      <c r="A34" s="200"/>
      <c r="B34" s="201"/>
      <c r="D34" s="199"/>
      <c r="E34" s="208"/>
      <c r="F34" s="202"/>
      <c r="G34" s="202"/>
      <c r="H34" s="199"/>
      <c r="I34" s="208"/>
      <c r="J34" s="199"/>
    </row>
    <row r="35" spans="1:10" ht="12" customHeight="1" x14ac:dyDescent="0.25">
      <c r="A35" s="242"/>
      <c r="B35" s="201"/>
      <c r="D35" s="199"/>
      <c r="E35" s="208"/>
      <c r="F35" s="202"/>
      <c r="G35" s="202"/>
      <c r="H35" s="199"/>
      <c r="I35" s="208"/>
      <c r="J35" s="199"/>
    </row>
    <row r="36" spans="1:10" ht="12" customHeight="1" x14ac:dyDescent="0.25">
      <c r="A36" s="200"/>
      <c r="B36" s="201"/>
      <c r="D36" s="199"/>
      <c r="E36" s="208"/>
      <c r="F36" s="202"/>
      <c r="G36" s="202"/>
      <c r="H36" s="199"/>
      <c r="I36" s="270" t="s">
        <v>125</v>
      </c>
      <c r="J36" s="199"/>
    </row>
    <row r="37" spans="1:10" ht="12" customHeight="1" thickBot="1" x14ac:dyDescent="0.3">
      <c r="A37" s="211"/>
      <c r="B37" s="212"/>
      <c r="D37" s="199"/>
      <c r="E37" s="213"/>
      <c r="F37" s="202"/>
      <c r="G37" s="202"/>
      <c r="H37" s="199"/>
      <c r="I37" s="213"/>
      <c r="J37" s="199"/>
    </row>
    <row r="38" spans="1:10" ht="12" customHeight="1" thickBot="1" x14ac:dyDescent="0.3">
      <c r="A38" s="248">
        <v>89</v>
      </c>
      <c r="B38" s="210">
        <v>5</v>
      </c>
      <c r="C38" s="174" t="s">
        <v>121</v>
      </c>
      <c r="D38" s="199"/>
      <c r="E38" s="214"/>
      <c r="F38" s="202"/>
      <c r="G38" s="202"/>
      <c r="H38" s="199"/>
      <c r="I38" s="214"/>
      <c r="J38" s="199"/>
    </row>
    <row r="39" spans="1:10" ht="12" customHeight="1" thickBot="1" x14ac:dyDescent="0.3">
      <c r="A39" s="247"/>
      <c r="B39" s="217"/>
      <c r="D39" s="199"/>
      <c r="E39" s="199"/>
      <c r="F39" s="199"/>
      <c r="G39" s="199"/>
      <c r="H39" s="199"/>
      <c r="I39" s="199"/>
      <c r="J39" s="199"/>
    </row>
    <row r="40" spans="1:10" ht="12" customHeight="1" thickTop="1" thickBot="1" x14ac:dyDescent="0.3">
      <c r="A40" s="248">
        <v>31</v>
      </c>
      <c r="B40" s="210">
        <v>0</v>
      </c>
      <c r="C40" s="174" t="s">
        <v>119</v>
      </c>
      <c r="D40" s="218"/>
      <c r="E40" s="219"/>
      <c r="F40" s="220"/>
      <c r="G40" s="221"/>
      <c r="H40" s="221"/>
      <c r="I40" s="222"/>
      <c r="J40" s="218"/>
    </row>
    <row r="41" spans="1:10" ht="12" customHeight="1" thickBot="1" x14ac:dyDescent="0.3">
      <c r="A41" s="197"/>
      <c r="B41" s="198"/>
      <c r="D41" s="199"/>
      <c r="E41" s="199"/>
      <c r="F41" s="199"/>
      <c r="G41" s="199"/>
      <c r="H41" s="199"/>
      <c r="I41" s="199"/>
      <c r="J41" s="199"/>
    </row>
    <row r="42" spans="1:10" ht="12" customHeight="1" thickTop="1" x14ac:dyDescent="0.25">
      <c r="A42" s="200"/>
      <c r="B42" s="201"/>
      <c r="D42" s="199"/>
      <c r="E42" s="199"/>
      <c r="F42" s="199"/>
      <c r="G42" s="223"/>
      <c r="H42" s="199"/>
      <c r="I42" s="199"/>
      <c r="J42" s="199"/>
    </row>
    <row r="43" spans="1:10" ht="12" customHeight="1" x14ac:dyDescent="0.25">
      <c r="A43" s="200"/>
      <c r="B43" s="201"/>
      <c r="D43" s="199"/>
      <c r="E43" s="199"/>
      <c r="F43" s="199"/>
      <c r="G43" s="224"/>
      <c r="H43" s="199"/>
      <c r="I43" s="199"/>
      <c r="J43" s="199"/>
    </row>
    <row r="44" spans="1:10" ht="12" customHeight="1" x14ac:dyDescent="0.25">
      <c r="A44" s="200"/>
      <c r="B44" s="201"/>
      <c r="D44" s="199"/>
      <c r="E44" s="199"/>
      <c r="F44" s="199"/>
      <c r="G44" s="224"/>
      <c r="H44" s="199"/>
      <c r="I44" s="199"/>
      <c r="J44" s="199"/>
    </row>
    <row r="45" spans="1:10" ht="12" customHeight="1" x14ac:dyDescent="0.25">
      <c r="A45" s="200"/>
      <c r="B45" s="201"/>
      <c r="D45" s="199"/>
      <c r="E45" s="199"/>
      <c r="F45" s="199"/>
      <c r="G45" s="224"/>
      <c r="H45" s="199"/>
      <c r="I45" s="199"/>
      <c r="J45" s="199"/>
    </row>
    <row r="46" spans="1:10" ht="12" customHeight="1" x14ac:dyDescent="0.25">
      <c r="A46" s="200"/>
      <c r="B46" s="201"/>
      <c r="D46" s="199"/>
      <c r="E46" s="199"/>
      <c r="F46" s="199"/>
      <c r="G46" s="224"/>
      <c r="H46" s="199"/>
      <c r="I46" s="199"/>
      <c r="J46" s="199"/>
    </row>
    <row r="47" spans="1:10" ht="12" customHeight="1" thickBot="1" x14ac:dyDescent="0.3">
      <c r="A47" s="200"/>
      <c r="B47" s="201"/>
      <c r="D47" s="199"/>
      <c r="E47" s="199"/>
      <c r="F47" s="199"/>
      <c r="G47" s="225"/>
      <c r="H47" s="199"/>
      <c r="I47" s="199"/>
      <c r="J47" s="199"/>
    </row>
    <row r="48" spans="1:10" ht="12" customHeight="1" thickTop="1" thickBot="1" x14ac:dyDescent="0.3">
      <c r="A48" s="200"/>
      <c r="B48" s="201"/>
      <c r="D48" s="199"/>
      <c r="E48" s="199"/>
      <c r="F48" s="199"/>
      <c r="G48" s="199"/>
      <c r="H48" s="199"/>
      <c r="I48" s="199"/>
      <c r="J48" s="199"/>
    </row>
    <row r="49" spans="1:11" ht="12" customHeight="1" thickTop="1" thickBot="1" x14ac:dyDescent="0.3">
      <c r="A49" s="200"/>
      <c r="B49" s="201"/>
      <c r="D49" s="199"/>
      <c r="E49" s="226"/>
      <c r="F49" s="227"/>
      <c r="G49" s="227"/>
      <c r="H49" s="227"/>
      <c r="I49" s="228"/>
      <c r="J49" s="199"/>
    </row>
    <row r="50" spans="1:11" ht="12" customHeight="1" thickTop="1" thickBot="1" x14ac:dyDescent="0.3">
      <c r="A50" s="200"/>
      <c r="B50" s="201"/>
      <c r="D50" s="199"/>
      <c r="E50" s="199"/>
      <c r="F50" s="199"/>
      <c r="G50" s="199"/>
      <c r="H50" s="199"/>
      <c r="I50" s="199"/>
      <c r="J50" s="199"/>
    </row>
    <row r="51" spans="1:11" ht="12" customHeight="1" thickTop="1" x14ac:dyDescent="0.25">
      <c r="A51" s="200"/>
      <c r="B51" s="201"/>
      <c r="D51" s="199"/>
      <c r="E51" s="199"/>
      <c r="F51" s="199"/>
      <c r="G51" s="223"/>
      <c r="H51" s="199"/>
      <c r="I51" s="199"/>
      <c r="J51" s="199"/>
    </row>
    <row r="52" spans="1:11" ht="12" customHeight="1" x14ac:dyDescent="0.25">
      <c r="A52" s="200"/>
      <c r="B52" s="201"/>
      <c r="D52" s="199"/>
      <c r="E52" s="199"/>
      <c r="F52" s="199"/>
      <c r="G52" s="224"/>
      <c r="H52" s="199"/>
      <c r="I52" s="199"/>
      <c r="J52" s="199"/>
    </row>
    <row r="53" spans="1:11" ht="12" customHeight="1" x14ac:dyDescent="0.25">
      <c r="A53" s="200"/>
      <c r="B53" s="201"/>
      <c r="D53" s="199"/>
      <c r="E53" s="199"/>
      <c r="F53" s="199"/>
      <c r="G53" s="265"/>
      <c r="H53" s="199"/>
      <c r="I53" s="199"/>
      <c r="J53" s="199"/>
    </row>
    <row r="54" spans="1:11" ht="12" customHeight="1" x14ac:dyDescent="0.25">
      <c r="A54" s="200"/>
      <c r="B54" s="201"/>
      <c r="D54" s="199"/>
      <c r="E54" s="199"/>
      <c r="F54" s="199"/>
      <c r="G54" s="224"/>
      <c r="H54" s="199"/>
      <c r="I54" s="199"/>
      <c r="J54" s="199"/>
    </row>
    <row r="55" spans="1:11" ht="12" customHeight="1" thickBot="1" x14ac:dyDescent="0.3">
      <c r="A55" s="200"/>
      <c r="B55" s="201"/>
      <c r="D55" s="199"/>
      <c r="E55" s="199"/>
      <c r="F55" s="199"/>
      <c r="G55" s="224"/>
      <c r="H55" s="199"/>
      <c r="I55" s="199"/>
      <c r="J55" s="199"/>
    </row>
    <row r="56" spans="1:11" ht="12" customHeight="1" thickBot="1" x14ac:dyDescent="0.3">
      <c r="A56" s="248">
        <v>136</v>
      </c>
      <c r="B56" s="210">
        <v>0</v>
      </c>
      <c r="C56" s="199" t="s">
        <v>117</v>
      </c>
      <c r="E56" s="199"/>
      <c r="F56" s="199"/>
      <c r="G56" s="224"/>
      <c r="H56" s="199"/>
      <c r="I56" s="199"/>
      <c r="J56" s="199"/>
    </row>
    <row r="57" spans="1:11" ht="12" customHeight="1" thickBot="1" x14ac:dyDescent="0.3">
      <c r="A57" s="248">
        <v>23</v>
      </c>
      <c r="B57" s="210">
        <v>0</v>
      </c>
      <c r="C57" s="199" t="s">
        <v>118</v>
      </c>
      <c r="E57" s="199"/>
      <c r="F57" s="199"/>
      <c r="G57" s="225"/>
      <c r="H57" s="199"/>
      <c r="I57" s="199"/>
      <c r="J57" s="199"/>
    </row>
    <row r="59" spans="1:11" s="230" customFormat="1" ht="11.25" x14ac:dyDescent="0.2">
      <c r="A59" s="229" t="s">
        <v>126</v>
      </c>
      <c r="B59" s="229"/>
    </row>
    <row r="60" spans="1:11" s="230" customFormat="1" ht="41.25" customHeight="1" x14ac:dyDescent="0.2">
      <c r="A60" s="372" t="s">
        <v>127</v>
      </c>
      <c r="B60" s="372"/>
      <c r="C60" s="372"/>
      <c r="D60" s="372"/>
      <c r="E60" s="372"/>
      <c r="F60" s="372"/>
      <c r="G60" s="372"/>
      <c r="H60" s="372"/>
      <c r="I60" s="372"/>
      <c r="J60" s="372"/>
      <c r="K60" s="372"/>
    </row>
  </sheetData>
  <mergeCells count="18">
    <mergeCell ref="B11:C11"/>
    <mergeCell ref="D11:E11"/>
    <mergeCell ref="A4:H4"/>
    <mergeCell ref="A5:K5"/>
    <mergeCell ref="B7:C7"/>
    <mergeCell ref="B8:C8"/>
    <mergeCell ref="A10:K10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60:K60"/>
  </mergeCells>
  <pageMargins left="0.7" right="0.7" top="0.75" bottom="0.75" header="0.3" footer="0.3"/>
  <pageSetup paperSize="9" scale="8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view="pageBreakPreview" zoomScale="90" zoomScaleNormal="100" zoomScaleSheetLayoutView="90" workbookViewId="0">
      <selection activeCell="A5" sqref="A5:K5"/>
    </sheetView>
  </sheetViews>
  <sheetFormatPr defaultRowHeight="15" x14ac:dyDescent="0.25"/>
  <cols>
    <col min="1" max="1" width="14" style="174" customWidth="1"/>
    <col min="2" max="2" width="9.140625" style="174" customWidth="1"/>
    <col min="3" max="3" width="7.85546875" style="174" customWidth="1"/>
    <col min="4" max="6" width="9.140625" style="174"/>
    <col min="7" max="7" width="9.140625" style="174" customWidth="1"/>
    <col min="8" max="10" width="9.140625" style="174"/>
    <col min="11" max="11" width="5.85546875" style="174" customWidth="1"/>
    <col min="12" max="16384" width="9.140625" style="174"/>
  </cols>
  <sheetData>
    <row r="1" spans="1:12" ht="20.100000000000001" customHeight="1" x14ac:dyDescent="0.25"/>
    <row r="2" spans="1:12" ht="39.950000000000003" customHeight="1" x14ac:dyDescent="0.25"/>
    <row r="3" spans="1:12" ht="20.100000000000001" customHeight="1" x14ac:dyDescent="0.25"/>
    <row r="4" spans="1:12" s="177" customFormat="1" ht="18" customHeight="1" x14ac:dyDescent="0.25">
      <c r="A4" s="381" t="s">
        <v>110</v>
      </c>
      <c r="B4" s="381"/>
      <c r="C4" s="381"/>
      <c r="D4" s="381"/>
      <c r="E4" s="381"/>
      <c r="F4" s="381"/>
      <c r="G4" s="381"/>
      <c r="H4" s="381"/>
      <c r="I4" s="175" t="s">
        <v>148</v>
      </c>
      <c r="J4" s="176"/>
      <c r="L4" s="178"/>
    </row>
    <row r="5" spans="1:12" s="177" customFormat="1" ht="25.5" customHeight="1" x14ac:dyDescent="0.25">
      <c r="A5" s="382" t="s">
        <v>111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178"/>
    </row>
    <row r="6" spans="1:12" s="177" customFormat="1" ht="18" customHeight="1" thickBot="1" x14ac:dyDescent="0.3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8"/>
    </row>
    <row r="7" spans="1:12" ht="15.75" x14ac:dyDescent="0.25">
      <c r="A7" s="180" t="s">
        <v>112</v>
      </c>
      <c r="B7" s="392" t="s">
        <v>137</v>
      </c>
      <c r="C7" s="393"/>
    </row>
    <row r="8" spans="1:12" ht="16.5" thickBot="1" x14ac:dyDescent="0.3">
      <c r="A8" s="181" t="s">
        <v>113</v>
      </c>
      <c r="B8" s="385" t="s">
        <v>136</v>
      </c>
      <c r="C8" s="386"/>
    </row>
    <row r="9" spans="1:12" ht="8.25" customHeight="1" x14ac:dyDescent="0.25">
      <c r="A9" s="182"/>
      <c r="B9" s="182"/>
      <c r="C9" s="183"/>
    </row>
    <row r="10" spans="1:12" ht="15.75" thickBot="1" x14ac:dyDescent="0.3">
      <c r="A10" s="387" t="s">
        <v>115</v>
      </c>
      <c r="B10" s="387"/>
      <c r="C10" s="387"/>
      <c r="D10" s="387"/>
      <c r="E10" s="387"/>
      <c r="F10" s="387"/>
      <c r="G10" s="387"/>
      <c r="H10" s="387"/>
      <c r="I10" s="387"/>
      <c r="J10" s="387"/>
      <c r="K10" s="387"/>
    </row>
    <row r="11" spans="1:12" ht="15.75" thickBot="1" x14ac:dyDescent="0.3">
      <c r="A11" s="184" t="s">
        <v>11</v>
      </c>
      <c r="B11" s="377" t="s">
        <v>116</v>
      </c>
      <c r="C11" s="378"/>
      <c r="D11" s="379" t="s">
        <v>19</v>
      </c>
      <c r="E11" s="380"/>
    </row>
    <row r="12" spans="1:12" x14ac:dyDescent="0.25">
      <c r="A12" s="186" t="s">
        <v>119</v>
      </c>
      <c r="B12" s="388" t="s">
        <v>135</v>
      </c>
      <c r="C12" s="389"/>
      <c r="D12" s="366">
        <f>SUM(100-((B37/A37)*100))</f>
        <v>100</v>
      </c>
      <c r="E12" s="367"/>
    </row>
    <row r="13" spans="1:12" x14ac:dyDescent="0.25">
      <c r="A13" s="186" t="s">
        <v>121</v>
      </c>
      <c r="B13" s="388" t="s">
        <v>135</v>
      </c>
      <c r="C13" s="389"/>
      <c r="D13" s="366">
        <f>SUM(100-((B35/A35)*100))</f>
        <v>97.752808988764045</v>
      </c>
      <c r="E13" s="367"/>
    </row>
    <row r="14" spans="1:12" ht="15.75" thickBot="1" x14ac:dyDescent="0.3">
      <c r="A14" s="189" t="s">
        <v>122</v>
      </c>
      <c r="B14" s="390" t="s">
        <v>135</v>
      </c>
      <c r="C14" s="391"/>
      <c r="D14" s="370">
        <f>SUM(100-((B17/A17)*100))</f>
        <v>100</v>
      </c>
      <c r="E14" s="371"/>
    </row>
    <row r="15" spans="1:12" ht="15.75" thickBot="1" x14ac:dyDescent="0.3"/>
    <row r="16" spans="1:12" ht="15.75" thickBot="1" x14ac:dyDescent="0.3">
      <c r="A16" s="190" t="s">
        <v>123</v>
      </c>
      <c r="B16" s="191" t="s">
        <v>124</v>
      </c>
    </row>
    <row r="17" spans="1:10" ht="12" customHeight="1" thickBot="1" x14ac:dyDescent="0.3">
      <c r="A17" s="189">
        <v>8</v>
      </c>
      <c r="B17" s="192">
        <v>0</v>
      </c>
      <c r="C17" s="174" t="s">
        <v>122</v>
      </c>
      <c r="D17" s="243"/>
      <c r="E17" s="193"/>
      <c r="F17" s="245"/>
      <c r="G17" s="246"/>
      <c r="H17" s="194"/>
      <c r="I17" s="196"/>
      <c r="J17" s="244"/>
    </row>
    <row r="18" spans="1:10" ht="12" customHeight="1" thickBot="1" x14ac:dyDescent="0.3">
      <c r="A18" s="197"/>
      <c r="B18" s="198"/>
      <c r="D18" s="199"/>
      <c r="E18" s="199"/>
      <c r="F18" s="199"/>
      <c r="G18" s="199"/>
      <c r="H18" s="199"/>
      <c r="I18" s="199"/>
      <c r="J18" s="199"/>
    </row>
    <row r="19" spans="1:10" ht="12" customHeight="1" x14ac:dyDescent="0.25">
      <c r="A19" s="200"/>
      <c r="B19" s="201"/>
      <c r="D19" s="199"/>
      <c r="E19" s="204"/>
      <c r="F19" s="202"/>
      <c r="G19" s="202"/>
      <c r="H19" s="199"/>
      <c r="I19" s="204"/>
      <c r="J19" s="199"/>
    </row>
    <row r="20" spans="1:10" ht="12" customHeight="1" x14ac:dyDescent="0.25">
      <c r="A20" s="200"/>
      <c r="B20" s="201"/>
      <c r="D20" s="199"/>
      <c r="E20" s="205"/>
      <c r="F20" s="202"/>
      <c r="G20" s="202"/>
      <c r="H20" s="199"/>
      <c r="I20" s="205"/>
      <c r="J20" s="199"/>
    </row>
    <row r="21" spans="1:10" ht="12" customHeight="1" x14ac:dyDescent="0.25">
      <c r="A21" s="200"/>
      <c r="B21" s="201"/>
      <c r="D21" s="199"/>
      <c r="E21" s="205"/>
      <c r="F21" s="202"/>
      <c r="G21" s="202"/>
      <c r="H21" s="199"/>
      <c r="I21" s="205"/>
      <c r="J21" s="199"/>
    </row>
    <row r="22" spans="1:10" ht="12" customHeight="1" x14ac:dyDescent="0.25">
      <c r="A22" s="200"/>
      <c r="B22" s="201"/>
      <c r="D22" s="199"/>
      <c r="E22" s="205"/>
      <c r="F22" s="202"/>
      <c r="G22" s="202"/>
      <c r="H22" s="199"/>
      <c r="I22" s="205"/>
      <c r="J22" s="199"/>
    </row>
    <row r="23" spans="1:10" ht="12" customHeight="1" x14ac:dyDescent="0.25">
      <c r="A23" s="200"/>
      <c r="B23" s="201"/>
      <c r="D23" s="199"/>
      <c r="E23" s="205"/>
      <c r="F23" s="202"/>
      <c r="G23" s="202"/>
      <c r="H23" s="199"/>
      <c r="I23" s="205"/>
      <c r="J23" s="199"/>
    </row>
    <row r="24" spans="1:10" ht="12" customHeight="1" x14ac:dyDescent="0.25">
      <c r="A24" s="200"/>
      <c r="B24" s="201"/>
      <c r="D24" s="199"/>
      <c r="E24" s="207"/>
      <c r="F24" s="202"/>
      <c r="G24" s="202"/>
      <c r="H24" s="199"/>
      <c r="I24" s="207"/>
      <c r="J24" s="199"/>
    </row>
    <row r="25" spans="1:10" ht="12" customHeight="1" x14ac:dyDescent="0.25">
      <c r="A25" s="200"/>
      <c r="B25" s="201"/>
      <c r="D25" s="199"/>
      <c r="E25" s="208"/>
      <c r="F25" s="202"/>
      <c r="G25" s="202"/>
      <c r="H25" s="199"/>
      <c r="I25" s="208"/>
      <c r="J25" s="199"/>
    </row>
    <row r="26" spans="1:10" ht="12" customHeight="1" x14ac:dyDescent="0.25">
      <c r="A26" s="200"/>
      <c r="B26" s="201"/>
      <c r="D26" s="199"/>
      <c r="E26" s="270" t="s">
        <v>125</v>
      </c>
      <c r="F26" s="202"/>
      <c r="G26" s="202"/>
      <c r="H26" s="199"/>
      <c r="I26" s="208"/>
      <c r="J26" s="199"/>
    </row>
    <row r="27" spans="1:10" ht="12" customHeight="1" x14ac:dyDescent="0.25">
      <c r="A27" s="200"/>
      <c r="B27" s="201"/>
      <c r="D27" s="199"/>
      <c r="E27" s="208"/>
      <c r="F27" s="202"/>
      <c r="G27" s="202"/>
      <c r="H27" s="199"/>
      <c r="I27" s="208"/>
      <c r="J27" s="199"/>
    </row>
    <row r="28" spans="1:10" ht="12" customHeight="1" x14ac:dyDescent="0.25">
      <c r="A28" s="200"/>
      <c r="B28" s="201"/>
      <c r="D28" s="199"/>
      <c r="E28" s="266"/>
      <c r="F28" s="202"/>
      <c r="G28" s="202"/>
      <c r="H28" s="199"/>
      <c r="I28" s="208"/>
      <c r="J28" s="199"/>
    </row>
    <row r="29" spans="1:10" ht="12" customHeight="1" x14ac:dyDescent="0.25">
      <c r="A29" s="200"/>
      <c r="B29" s="201"/>
      <c r="D29" s="199"/>
      <c r="E29" s="208"/>
      <c r="F29" s="202"/>
      <c r="G29" s="202"/>
      <c r="H29" s="199"/>
      <c r="I29" s="208"/>
      <c r="J29" s="199"/>
    </row>
    <row r="30" spans="1:10" ht="12" customHeight="1" x14ac:dyDescent="0.25">
      <c r="A30" s="200"/>
      <c r="B30" s="201"/>
      <c r="D30" s="199"/>
      <c r="E30" s="208" t="s">
        <v>125</v>
      </c>
      <c r="F30" s="202"/>
      <c r="G30" s="202"/>
      <c r="H30" s="199"/>
      <c r="I30" s="266"/>
      <c r="J30" s="199"/>
    </row>
    <row r="31" spans="1:10" ht="12" customHeight="1" x14ac:dyDescent="0.25">
      <c r="A31" s="200"/>
      <c r="B31" s="201"/>
      <c r="D31" s="199"/>
      <c r="E31" s="208"/>
      <c r="F31" s="202"/>
      <c r="G31" s="202"/>
      <c r="H31" s="199"/>
      <c r="I31" s="208"/>
      <c r="J31" s="199"/>
    </row>
    <row r="32" spans="1:10" ht="12" customHeight="1" x14ac:dyDescent="0.25">
      <c r="A32" s="200"/>
      <c r="B32" s="201"/>
      <c r="D32" s="199"/>
      <c r="E32" s="208"/>
      <c r="F32" s="202"/>
      <c r="G32" s="202"/>
      <c r="H32" s="199"/>
      <c r="I32" s="208"/>
      <c r="J32" s="199"/>
    </row>
    <row r="33" spans="1:11" ht="12" customHeight="1" x14ac:dyDescent="0.25">
      <c r="A33" s="200"/>
      <c r="B33" s="201"/>
      <c r="D33" s="199"/>
      <c r="E33" s="208"/>
      <c r="F33" s="202"/>
      <c r="G33" s="202"/>
      <c r="H33" s="199"/>
      <c r="I33" s="208"/>
      <c r="J33" s="199"/>
    </row>
    <row r="34" spans="1:11" ht="12" customHeight="1" thickBot="1" x14ac:dyDescent="0.3">
      <c r="A34" s="211"/>
      <c r="B34" s="212"/>
      <c r="D34" s="199"/>
      <c r="E34" s="213"/>
      <c r="F34" s="202"/>
      <c r="G34" s="202"/>
      <c r="H34" s="199"/>
      <c r="I34" s="213"/>
      <c r="J34" s="199"/>
    </row>
    <row r="35" spans="1:11" ht="12" customHeight="1" thickBot="1" x14ac:dyDescent="0.3">
      <c r="A35" s="248">
        <v>89</v>
      </c>
      <c r="B35" s="210">
        <v>2</v>
      </c>
      <c r="C35" s="174" t="s">
        <v>121</v>
      </c>
      <c r="D35" s="199"/>
      <c r="E35" s="214"/>
      <c r="F35" s="202"/>
      <c r="G35" s="202"/>
      <c r="H35" s="199"/>
      <c r="I35" s="214"/>
      <c r="J35" s="199"/>
    </row>
    <row r="36" spans="1:11" ht="12" customHeight="1" thickBot="1" x14ac:dyDescent="0.3">
      <c r="A36" s="216"/>
      <c r="B36" s="217"/>
      <c r="D36" s="199"/>
      <c r="E36" s="199"/>
      <c r="F36" s="199"/>
      <c r="G36" s="199"/>
      <c r="H36" s="199"/>
      <c r="I36" s="199"/>
      <c r="J36" s="199"/>
    </row>
    <row r="37" spans="1:11" ht="12" customHeight="1" thickTop="1" thickBot="1" x14ac:dyDescent="0.3">
      <c r="A37" s="209">
        <v>8</v>
      </c>
      <c r="B37" s="210">
        <v>0</v>
      </c>
      <c r="C37" s="174" t="s">
        <v>119</v>
      </c>
      <c r="D37" s="250"/>
      <c r="E37" s="219"/>
      <c r="F37" s="251"/>
      <c r="G37" s="252"/>
      <c r="H37" s="220"/>
      <c r="I37" s="222"/>
      <c r="J37" s="249"/>
    </row>
    <row r="39" spans="1:11" s="230" customFormat="1" ht="11.25" x14ac:dyDescent="0.2">
      <c r="A39" s="229" t="s">
        <v>126</v>
      </c>
      <c r="B39" s="229"/>
    </row>
    <row r="40" spans="1:11" s="230" customFormat="1" ht="41.25" customHeight="1" x14ac:dyDescent="0.2">
      <c r="A40" s="372" t="s">
        <v>127</v>
      </c>
      <c r="B40" s="372"/>
      <c r="C40" s="372"/>
      <c r="D40" s="372"/>
      <c r="E40" s="372"/>
      <c r="F40" s="372"/>
      <c r="G40" s="372"/>
      <c r="H40" s="372"/>
      <c r="I40" s="372"/>
      <c r="J40" s="372"/>
      <c r="K40" s="372"/>
    </row>
  </sheetData>
  <mergeCells count="14">
    <mergeCell ref="B12:C12"/>
    <mergeCell ref="D12:E12"/>
    <mergeCell ref="A4:H4"/>
    <mergeCell ref="A5:K5"/>
    <mergeCell ref="B7:C7"/>
    <mergeCell ref="B8:C8"/>
    <mergeCell ref="A10:K10"/>
    <mergeCell ref="B11:C11"/>
    <mergeCell ref="D11:E11"/>
    <mergeCell ref="B13:C13"/>
    <mergeCell ref="D13:E13"/>
    <mergeCell ref="B14:C14"/>
    <mergeCell ref="D14:E14"/>
    <mergeCell ref="A40:K40"/>
  </mergeCells>
  <pageMargins left="0.7" right="0.7" top="0.75" bottom="0.75" header="0.3" footer="0.3"/>
  <pageSetup paperSize="9" scale="8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view="pageBreakPreview" topLeftCell="A10" zoomScale="80" zoomScaleNormal="100" zoomScaleSheetLayoutView="80" workbookViewId="0">
      <selection activeCell="P38" sqref="P38"/>
    </sheetView>
  </sheetViews>
  <sheetFormatPr defaultRowHeight="15" x14ac:dyDescent="0.25"/>
  <cols>
    <col min="1" max="1" width="14.42578125" style="174" customWidth="1"/>
    <col min="2" max="3" width="9.140625" style="174" customWidth="1"/>
    <col min="4" max="10" width="9.140625" style="174"/>
    <col min="11" max="11" width="7.7109375" style="174" customWidth="1"/>
    <col min="12" max="16384" width="9.140625" style="174"/>
  </cols>
  <sheetData>
    <row r="1" spans="1:12" ht="20.100000000000001" customHeight="1" x14ac:dyDescent="0.25"/>
    <row r="2" spans="1:12" ht="39.950000000000003" customHeight="1" x14ac:dyDescent="0.25"/>
    <row r="3" spans="1:12" ht="20.100000000000001" customHeight="1" x14ac:dyDescent="0.25"/>
    <row r="4" spans="1:12" s="177" customFormat="1" ht="18" customHeight="1" x14ac:dyDescent="0.25">
      <c r="A4" s="381" t="s">
        <v>110</v>
      </c>
      <c r="B4" s="381"/>
      <c r="C4" s="381"/>
      <c r="D4" s="381"/>
      <c r="E4" s="381"/>
      <c r="F4" s="381"/>
      <c r="G4" s="381"/>
      <c r="H4" s="381"/>
      <c r="I4" s="175" t="s">
        <v>148</v>
      </c>
      <c r="J4" s="176"/>
      <c r="L4" s="178"/>
    </row>
    <row r="5" spans="1:12" s="177" customFormat="1" ht="25.5" customHeight="1" x14ac:dyDescent="0.25">
      <c r="A5" s="382" t="s">
        <v>111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178"/>
    </row>
    <row r="6" spans="1:12" s="177" customFormat="1" ht="18" customHeight="1" thickBot="1" x14ac:dyDescent="0.3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8"/>
    </row>
    <row r="7" spans="1:12" ht="15.75" x14ac:dyDescent="0.25">
      <c r="A7" s="180" t="s">
        <v>112</v>
      </c>
      <c r="B7" s="383">
        <v>31</v>
      </c>
      <c r="C7" s="384"/>
    </row>
    <row r="8" spans="1:12" ht="16.5" thickBot="1" x14ac:dyDescent="0.3">
      <c r="A8" s="231" t="s">
        <v>113</v>
      </c>
      <c r="B8" s="398" t="s">
        <v>139</v>
      </c>
      <c r="C8" s="399"/>
    </row>
    <row r="9" spans="1:12" ht="8.25" customHeight="1" x14ac:dyDescent="0.25">
      <c r="A9" s="182"/>
      <c r="B9" s="182"/>
      <c r="C9" s="183"/>
    </row>
    <row r="10" spans="1:12" ht="15.75" thickBot="1" x14ac:dyDescent="0.3">
      <c r="A10" s="387" t="s">
        <v>128</v>
      </c>
      <c r="B10" s="387"/>
      <c r="C10" s="387"/>
      <c r="D10" s="387"/>
      <c r="E10" s="387"/>
      <c r="F10" s="387"/>
      <c r="G10" s="387"/>
      <c r="H10" s="387"/>
      <c r="I10" s="387"/>
      <c r="J10" s="387"/>
      <c r="K10" s="387"/>
    </row>
    <row r="11" spans="1:12" ht="15.75" thickBot="1" x14ac:dyDescent="0.3">
      <c r="A11" s="184" t="s">
        <v>11</v>
      </c>
      <c r="B11" s="377" t="s">
        <v>116</v>
      </c>
      <c r="C11" s="378"/>
      <c r="D11" s="379" t="s">
        <v>19</v>
      </c>
      <c r="E11" s="380"/>
      <c r="F11" s="379" t="s">
        <v>129</v>
      </c>
      <c r="G11" s="380"/>
      <c r="H11" s="379" t="s">
        <v>129</v>
      </c>
      <c r="I11" s="380"/>
    </row>
    <row r="12" spans="1:12" x14ac:dyDescent="0.25">
      <c r="A12" s="185" t="s">
        <v>117</v>
      </c>
      <c r="B12" s="373">
        <v>0.95</v>
      </c>
      <c r="C12" s="374"/>
      <c r="D12" s="375">
        <f>SUM(100-((B50/A50)*100))</f>
        <v>98.684210526315795</v>
      </c>
      <c r="E12" s="376"/>
      <c r="F12" s="373">
        <v>0.85</v>
      </c>
      <c r="G12" s="374"/>
      <c r="H12" s="375">
        <f>SUM(100-((B58/A58)*100))</f>
        <v>98.333333333333329</v>
      </c>
      <c r="I12" s="376"/>
    </row>
    <row r="13" spans="1:12" x14ac:dyDescent="0.25">
      <c r="A13" s="186" t="s">
        <v>118</v>
      </c>
      <c r="B13" s="364">
        <v>0.95</v>
      </c>
      <c r="C13" s="365"/>
      <c r="D13" s="366">
        <f>SUM(100-((B51/A51)*100))</f>
        <v>100</v>
      </c>
      <c r="E13" s="367"/>
      <c r="F13" s="364">
        <v>0.85</v>
      </c>
      <c r="G13" s="365"/>
      <c r="H13" s="366">
        <f>SUM(100-((B59/A59)*100))</f>
        <v>100</v>
      </c>
      <c r="I13" s="367"/>
    </row>
    <row r="14" spans="1:12" x14ac:dyDescent="0.25">
      <c r="A14" s="186" t="s">
        <v>119</v>
      </c>
      <c r="B14" s="364">
        <v>0.95</v>
      </c>
      <c r="C14" s="365"/>
      <c r="D14" s="366">
        <f>SUM(100-((B42/A42)*100))</f>
        <v>100</v>
      </c>
      <c r="E14" s="367"/>
    </row>
    <row r="15" spans="1:12" x14ac:dyDescent="0.25">
      <c r="A15" s="186" t="s">
        <v>130</v>
      </c>
      <c r="B15" s="187"/>
      <c r="C15" s="188">
        <v>0.9</v>
      </c>
      <c r="D15" s="366">
        <f>SUM(100-((B35/A35)*100))</f>
        <v>98.888888888888886</v>
      </c>
      <c r="E15" s="367"/>
    </row>
    <row r="16" spans="1:12" x14ac:dyDescent="0.25">
      <c r="A16" s="186" t="s">
        <v>120</v>
      </c>
      <c r="B16" s="187"/>
      <c r="C16" s="188">
        <v>0.95</v>
      </c>
      <c r="D16" s="366">
        <f>SUM(100-((B38/A38)*100))</f>
        <v>99.487179487179489</v>
      </c>
      <c r="E16" s="367"/>
    </row>
    <row r="17" spans="1:10" x14ac:dyDescent="0.25">
      <c r="A17" s="186" t="s">
        <v>121</v>
      </c>
      <c r="B17" s="364">
        <v>0.95</v>
      </c>
      <c r="C17" s="365"/>
      <c r="D17" s="366">
        <f>SUM(100-((B40/A40)*100))</f>
        <v>99</v>
      </c>
      <c r="E17" s="367"/>
    </row>
    <row r="18" spans="1:10" ht="15.75" thickBot="1" x14ac:dyDescent="0.3">
      <c r="A18" s="232" t="s">
        <v>122</v>
      </c>
      <c r="B18" s="394">
        <v>0.75</v>
      </c>
      <c r="C18" s="395"/>
      <c r="D18" s="396">
        <f>SUM(100-((B21/A21)*100))</f>
        <v>100</v>
      </c>
      <c r="E18" s="397"/>
    </row>
    <row r="19" spans="1:10" ht="15.75" thickBot="1" x14ac:dyDescent="0.3"/>
    <row r="20" spans="1:10" ht="15.75" thickBot="1" x14ac:dyDescent="0.3">
      <c r="A20" s="190" t="s">
        <v>123</v>
      </c>
      <c r="B20" s="191" t="s">
        <v>124</v>
      </c>
    </row>
    <row r="21" spans="1:10" ht="12" customHeight="1" thickBot="1" x14ac:dyDescent="0.3">
      <c r="A21" s="232">
        <v>10</v>
      </c>
      <c r="B21" s="233">
        <v>0</v>
      </c>
      <c r="C21" s="174" t="s">
        <v>122</v>
      </c>
      <c r="D21" s="243"/>
      <c r="E21" s="193"/>
      <c r="F21" s="194"/>
      <c r="G21" s="195"/>
      <c r="H21" s="195"/>
      <c r="I21" s="196"/>
      <c r="J21" s="244"/>
    </row>
    <row r="22" spans="1:10" ht="12" customHeight="1" thickBot="1" x14ac:dyDescent="0.3">
      <c r="A22" s="197"/>
      <c r="B22" s="198"/>
      <c r="D22" s="199"/>
      <c r="E22" s="199"/>
      <c r="F22" s="199"/>
      <c r="G22" s="199"/>
      <c r="H22" s="199"/>
      <c r="I22" s="199"/>
      <c r="J22" s="199"/>
    </row>
    <row r="23" spans="1:10" ht="12" customHeight="1" thickTop="1" x14ac:dyDescent="0.25">
      <c r="A23" s="200"/>
      <c r="B23" s="201"/>
      <c r="D23" s="199"/>
      <c r="E23" s="204"/>
      <c r="F23" s="202"/>
      <c r="G23" s="203"/>
      <c r="H23" s="199"/>
      <c r="I23" s="204"/>
      <c r="J23" s="199"/>
    </row>
    <row r="24" spans="1:10" ht="12" customHeight="1" x14ac:dyDescent="0.25">
      <c r="A24" s="200"/>
      <c r="B24" s="201"/>
      <c r="D24" s="199"/>
      <c r="E24" s="205"/>
      <c r="F24" s="202"/>
      <c r="G24" s="206"/>
      <c r="H24" s="199"/>
      <c r="I24" s="205"/>
      <c r="J24" s="199"/>
    </row>
    <row r="25" spans="1:10" ht="12" customHeight="1" x14ac:dyDescent="0.25">
      <c r="A25" s="200"/>
      <c r="B25" s="201"/>
      <c r="D25" s="199"/>
      <c r="E25" s="205"/>
      <c r="F25" s="202"/>
      <c r="G25" s="206"/>
      <c r="H25" s="199"/>
      <c r="I25" s="205"/>
      <c r="J25" s="199"/>
    </row>
    <row r="26" spans="1:10" ht="12" customHeight="1" x14ac:dyDescent="0.25">
      <c r="A26" s="200"/>
      <c r="B26" s="201"/>
      <c r="D26" s="199"/>
      <c r="E26" s="205"/>
      <c r="F26" s="202"/>
      <c r="G26" s="206"/>
      <c r="H26" s="199"/>
      <c r="I26" s="205"/>
      <c r="J26" s="199"/>
    </row>
    <row r="27" spans="1:10" ht="12" customHeight="1" x14ac:dyDescent="0.25">
      <c r="A27" s="200"/>
      <c r="B27" s="201"/>
      <c r="D27" s="199"/>
      <c r="E27" s="205"/>
      <c r="F27" s="202"/>
      <c r="G27" s="206"/>
      <c r="H27" s="199"/>
      <c r="I27" s="205"/>
      <c r="J27" s="199"/>
    </row>
    <row r="28" spans="1:10" ht="12" customHeight="1" x14ac:dyDescent="0.25">
      <c r="A28" s="200"/>
      <c r="B28" s="201"/>
      <c r="D28" s="199"/>
      <c r="E28" s="207"/>
      <c r="F28" s="202"/>
      <c r="G28" s="206"/>
      <c r="H28" s="199"/>
      <c r="I28" s="207"/>
      <c r="J28" s="199"/>
    </row>
    <row r="29" spans="1:10" ht="12" customHeight="1" x14ac:dyDescent="0.25">
      <c r="A29" s="200"/>
      <c r="B29" s="201"/>
      <c r="D29" s="199"/>
      <c r="E29" s="208"/>
      <c r="F29" s="202"/>
      <c r="G29" s="206"/>
      <c r="H29" s="199"/>
      <c r="I29" s="208"/>
      <c r="J29" s="199"/>
    </row>
    <row r="30" spans="1:10" ht="12" customHeight="1" x14ac:dyDescent="0.25">
      <c r="A30" s="200"/>
      <c r="B30" s="201"/>
      <c r="D30" s="199"/>
      <c r="E30" s="208"/>
      <c r="F30" s="202"/>
      <c r="G30" s="206"/>
      <c r="H30" s="199"/>
      <c r="I30" s="208"/>
      <c r="J30" s="199"/>
    </row>
    <row r="31" spans="1:10" ht="12" customHeight="1" x14ac:dyDescent="0.25">
      <c r="A31" s="200"/>
      <c r="B31" s="201"/>
      <c r="D31" s="199"/>
      <c r="E31" s="208"/>
      <c r="F31" s="202"/>
      <c r="G31" s="206"/>
      <c r="H31" s="199"/>
      <c r="I31" s="208"/>
      <c r="J31" s="199"/>
    </row>
    <row r="32" spans="1:10" ht="12" customHeight="1" x14ac:dyDescent="0.25">
      <c r="A32" s="200"/>
      <c r="B32" s="201"/>
      <c r="D32" s="199"/>
      <c r="E32" s="208"/>
      <c r="F32" s="202"/>
      <c r="G32" s="206"/>
      <c r="H32" s="199"/>
      <c r="I32" s="208"/>
      <c r="J32" s="199"/>
    </row>
    <row r="33" spans="1:10" ht="12" customHeight="1" x14ac:dyDescent="0.25">
      <c r="A33" s="200"/>
      <c r="B33" s="201"/>
      <c r="D33" s="199"/>
      <c r="E33" s="270"/>
      <c r="F33" s="202"/>
      <c r="G33" s="206"/>
      <c r="H33" s="199"/>
      <c r="I33" s="208"/>
      <c r="J33" s="199"/>
    </row>
    <row r="34" spans="1:10" ht="12" customHeight="1" thickBot="1" x14ac:dyDescent="0.3">
      <c r="A34" s="253"/>
      <c r="B34" s="201"/>
      <c r="D34" s="199"/>
      <c r="E34" s="208"/>
      <c r="F34" s="202"/>
      <c r="G34" s="206"/>
      <c r="H34" s="199"/>
      <c r="I34" s="208"/>
      <c r="J34" s="199"/>
    </row>
    <row r="35" spans="1:10" ht="12" customHeight="1" thickTop="1" thickBot="1" x14ac:dyDescent="0.3">
      <c r="A35" s="248">
        <v>180</v>
      </c>
      <c r="B35" s="210">
        <v>2</v>
      </c>
      <c r="C35" s="174" t="s">
        <v>130</v>
      </c>
      <c r="D35" s="199"/>
      <c r="E35" s="208"/>
      <c r="F35" s="234"/>
      <c r="G35" s="411" t="s">
        <v>125</v>
      </c>
      <c r="H35" s="272"/>
      <c r="I35" s="208"/>
      <c r="J35" s="199"/>
    </row>
    <row r="36" spans="1:10" ht="12" customHeight="1" thickTop="1" thickBot="1" x14ac:dyDescent="0.3">
      <c r="A36" s="258"/>
      <c r="B36" s="201"/>
      <c r="D36" s="199"/>
      <c r="E36" s="208"/>
      <c r="F36" s="234"/>
      <c r="G36" s="206"/>
      <c r="H36" s="272"/>
      <c r="I36" s="208"/>
      <c r="J36" s="199"/>
    </row>
    <row r="37" spans="1:10" ht="12" customHeight="1" thickTop="1" thickBot="1" x14ac:dyDescent="0.3">
      <c r="A37" s="258"/>
      <c r="B37" s="201"/>
      <c r="D37" s="199"/>
      <c r="E37" s="208"/>
      <c r="F37" s="271"/>
      <c r="G37" s="206"/>
      <c r="H37" s="269"/>
      <c r="I37" s="266"/>
      <c r="J37" s="199"/>
    </row>
    <row r="38" spans="1:10" ht="12" customHeight="1" thickTop="1" thickBot="1" x14ac:dyDescent="0.3">
      <c r="A38" s="248">
        <v>195</v>
      </c>
      <c r="B38" s="210">
        <v>1</v>
      </c>
      <c r="C38" s="174" t="s">
        <v>120</v>
      </c>
      <c r="D38" s="199"/>
      <c r="E38" s="208"/>
      <c r="F38" s="409" t="s">
        <v>149</v>
      </c>
      <c r="G38" s="206"/>
      <c r="H38" s="235"/>
      <c r="I38" s="208"/>
      <c r="J38" s="199"/>
    </row>
    <row r="39" spans="1:10" ht="12" customHeight="1" thickTop="1" thickBot="1" x14ac:dyDescent="0.3">
      <c r="A39" s="259"/>
      <c r="B39" s="212"/>
      <c r="D39" s="199"/>
      <c r="E39" s="208"/>
      <c r="F39" s="234"/>
      <c r="G39" s="206"/>
      <c r="H39" s="235"/>
      <c r="I39" s="208"/>
      <c r="J39" s="199"/>
    </row>
    <row r="40" spans="1:10" ht="12" customHeight="1" thickTop="1" thickBot="1" x14ac:dyDescent="0.3">
      <c r="A40" s="248">
        <v>100</v>
      </c>
      <c r="B40" s="210">
        <v>1</v>
      </c>
      <c r="C40" s="174" t="s">
        <v>121</v>
      </c>
      <c r="D40" s="199"/>
      <c r="E40" s="214"/>
      <c r="F40" s="234"/>
      <c r="G40" s="215"/>
      <c r="H40" s="410" t="s">
        <v>149</v>
      </c>
      <c r="I40" s="408" t="s">
        <v>125</v>
      </c>
      <c r="J40" s="199"/>
    </row>
    <row r="41" spans="1:10" ht="12" customHeight="1" thickBot="1" x14ac:dyDescent="0.3">
      <c r="A41" s="257"/>
      <c r="B41" s="217"/>
      <c r="D41" s="199"/>
      <c r="E41" s="199"/>
      <c r="F41" s="199"/>
      <c r="G41" s="199"/>
      <c r="H41" s="199"/>
      <c r="I41" s="199"/>
      <c r="J41" s="199"/>
    </row>
    <row r="42" spans="1:10" ht="12" customHeight="1" thickTop="1" thickBot="1" x14ac:dyDescent="0.3">
      <c r="A42" s="248">
        <v>28</v>
      </c>
      <c r="B42" s="210">
        <v>0</v>
      </c>
      <c r="C42" s="174" t="s">
        <v>119</v>
      </c>
      <c r="D42" s="218"/>
      <c r="E42" s="219"/>
      <c r="F42" s="220"/>
      <c r="G42" s="221"/>
      <c r="H42" s="221"/>
      <c r="I42" s="222"/>
      <c r="J42" s="268"/>
    </row>
    <row r="43" spans="1:10" ht="12" customHeight="1" thickBot="1" x14ac:dyDescent="0.3">
      <c r="A43" s="262"/>
      <c r="B43" s="198"/>
      <c r="D43" s="199"/>
      <c r="E43" s="199"/>
      <c r="F43" s="199"/>
      <c r="G43" s="199"/>
      <c r="H43" s="199"/>
      <c r="I43" s="199"/>
      <c r="J43" s="199"/>
    </row>
    <row r="44" spans="1:10" ht="12" customHeight="1" thickTop="1" thickBot="1" x14ac:dyDescent="0.3">
      <c r="A44" s="263">
        <v>48</v>
      </c>
      <c r="B44" s="261">
        <v>0</v>
      </c>
      <c r="C44" s="260" t="s">
        <v>140</v>
      </c>
      <c r="D44" s="199"/>
      <c r="E44" s="236"/>
      <c r="F44" s="199"/>
      <c r="G44" s="223"/>
      <c r="H44" s="199"/>
      <c r="I44" s="236"/>
      <c r="J44" s="199"/>
    </row>
    <row r="45" spans="1:10" ht="12" customHeight="1" x14ac:dyDescent="0.25">
      <c r="A45" s="258"/>
      <c r="B45" s="201"/>
      <c r="D45" s="199"/>
      <c r="E45" s="237"/>
      <c r="F45" s="199"/>
      <c r="G45" s="224"/>
      <c r="H45" s="199"/>
      <c r="I45" s="237"/>
      <c r="J45" s="199"/>
    </row>
    <row r="46" spans="1:10" ht="12" customHeight="1" thickBot="1" x14ac:dyDescent="0.3">
      <c r="A46" s="258"/>
      <c r="B46" s="201"/>
      <c r="D46" s="199"/>
      <c r="E46" s="238"/>
      <c r="F46" s="199"/>
      <c r="G46" s="224"/>
      <c r="H46" s="199"/>
      <c r="I46" s="238"/>
      <c r="J46" s="199"/>
    </row>
    <row r="47" spans="1:10" ht="12" customHeight="1" thickTop="1" x14ac:dyDescent="0.25">
      <c r="A47" s="258"/>
      <c r="B47" s="201"/>
      <c r="D47" s="199"/>
      <c r="F47" s="199"/>
      <c r="G47" s="224"/>
      <c r="H47" s="199"/>
      <c r="J47" s="199"/>
    </row>
    <row r="48" spans="1:10" ht="12" customHeight="1" x14ac:dyDescent="0.25">
      <c r="A48" s="258"/>
      <c r="B48" s="201"/>
      <c r="D48" s="199"/>
      <c r="F48" s="224"/>
      <c r="G48" s="224"/>
      <c r="H48" s="224"/>
      <c r="J48" s="199"/>
    </row>
    <row r="49" spans="1:11" ht="12" customHeight="1" thickBot="1" x14ac:dyDescent="0.3">
      <c r="A49" s="258"/>
      <c r="B49" s="201"/>
      <c r="D49" s="199"/>
      <c r="F49" s="199"/>
      <c r="G49" s="407" t="s">
        <v>149</v>
      </c>
      <c r="H49" s="199"/>
      <c r="J49" s="199"/>
    </row>
    <row r="50" spans="1:11" ht="12" customHeight="1" thickTop="1" thickBot="1" x14ac:dyDescent="0.3">
      <c r="A50" s="248">
        <v>76</v>
      </c>
      <c r="B50" s="210">
        <v>1</v>
      </c>
      <c r="C50" s="174" t="s">
        <v>131</v>
      </c>
      <c r="D50" s="199"/>
      <c r="E50" s="199"/>
      <c r="F50" s="199"/>
      <c r="G50" s="199"/>
      <c r="H50" s="199"/>
      <c r="I50" s="199"/>
      <c r="J50" s="199"/>
    </row>
    <row r="51" spans="1:11" ht="12" customHeight="1" thickTop="1" thickBot="1" x14ac:dyDescent="0.3">
      <c r="A51" s="248">
        <v>15</v>
      </c>
      <c r="B51" s="210">
        <v>0</v>
      </c>
      <c r="C51" s="174" t="s">
        <v>132</v>
      </c>
      <c r="D51" s="199"/>
      <c r="E51" s="226"/>
      <c r="F51" s="227"/>
      <c r="G51" s="227"/>
      <c r="H51" s="227"/>
      <c r="I51" s="228"/>
      <c r="J51" s="199"/>
    </row>
    <row r="52" spans="1:11" ht="12" customHeight="1" thickBot="1" x14ac:dyDescent="0.3">
      <c r="A52" s="258"/>
      <c r="B52" s="201"/>
      <c r="D52" s="199"/>
      <c r="E52" s="199"/>
      <c r="F52" s="199"/>
      <c r="G52" s="199"/>
      <c r="H52" s="199"/>
      <c r="I52" s="199"/>
      <c r="J52" s="199"/>
    </row>
    <row r="53" spans="1:11" ht="12" customHeight="1" thickTop="1" x14ac:dyDescent="0.25">
      <c r="A53" s="258"/>
      <c r="B53" s="201"/>
      <c r="D53" s="199"/>
      <c r="E53" s="199"/>
      <c r="F53" s="199"/>
      <c r="G53" s="223"/>
      <c r="H53" s="199"/>
      <c r="I53" s="199"/>
      <c r="J53" s="199"/>
    </row>
    <row r="54" spans="1:11" ht="12" customHeight="1" x14ac:dyDescent="0.25">
      <c r="A54" s="258"/>
      <c r="B54" s="201"/>
      <c r="D54" s="199"/>
      <c r="E54" s="199"/>
      <c r="F54" s="199"/>
      <c r="G54" s="224"/>
      <c r="H54" s="199"/>
      <c r="I54" s="199"/>
      <c r="J54" s="199"/>
    </row>
    <row r="55" spans="1:11" ht="12" customHeight="1" x14ac:dyDescent="0.25">
      <c r="A55" s="258"/>
      <c r="B55" s="201"/>
      <c r="D55" s="199"/>
      <c r="E55" s="199"/>
      <c r="F55" s="199"/>
      <c r="G55" s="224"/>
      <c r="H55" s="199"/>
      <c r="I55" s="199"/>
      <c r="J55" s="199"/>
    </row>
    <row r="56" spans="1:11" ht="12" customHeight="1" x14ac:dyDescent="0.25">
      <c r="A56" s="258"/>
      <c r="B56" s="201"/>
      <c r="D56" s="199"/>
      <c r="E56" s="199"/>
      <c r="F56" s="199"/>
      <c r="G56" s="265" t="s">
        <v>141</v>
      </c>
      <c r="H56" s="199"/>
      <c r="I56" s="199"/>
      <c r="J56" s="199"/>
    </row>
    <row r="57" spans="1:11" ht="12" customHeight="1" thickBot="1" x14ac:dyDescent="0.3">
      <c r="A57" s="258"/>
      <c r="B57" s="201"/>
      <c r="D57" s="199"/>
      <c r="E57" s="199"/>
      <c r="F57" s="199"/>
      <c r="G57" s="224"/>
      <c r="H57" s="199"/>
      <c r="I57" s="199"/>
      <c r="J57" s="199"/>
    </row>
    <row r="58" spans="1:11" ht="12" customHeight="1" thickBot="1" x14ac:dyDescent="0.3">
      <c r="A58" s="248">
        <v>60</v>
      </c>
      <c r="B58" s="210">
        <v>1</v>
      </c>
      <c r="C58" s="174" t="s">
        <v>133</v>
      </c>
      <c r="D58" s="199"/>
      <c r="E58" s="199"/>
      <c r="F58" s="199"/>
      <c r="G58" s="224"/>
      <c r="H58" s="199"/>
      <c r="I58" s="199"/>
      <c r="J58" s="199"/>
    </row>
    <row r="59" spans="1:11" ht="12" customHeight="1" thickBot="1" x14ac:dyDescent="0.3">
      <c r="A59" s="248">
        <v>8</v>
      </c>
      <c r="B59" s="210">
        <v>0</v>
      </c>
      <c r="C59" s="174" t="s">
        <v>134</v>
      </c>
      <c r="D59" s="199"/>
      <c r="E59" s="199"/>
      <c r="F59" s="199"/>
      <c r="G59" s="225"/>
      <c r="H59" s="199"/>
      <c r="I59" s="199"/>
      <c r="J59" s="199"/>
    </row>
    <row r="61" spans="1:11" s="230" customFormat="1" ht="11.25" x14ac:dyDescent="0.2">
      <c r="A61" s="229" t="s">
        <v>126</v>
      </c>
      <c r="B61" s="229"/>
    </row>
    <row r="62" spans="1:11" s="230" customFormat="1" ht="41.25" customHeight="1" x14ac:dyDescent="0.2">
      <c r="A62" s="372" t="s">
        <v>127</v>
      </c>
      <c r="B62" s="372"/>
      <c r="C62" s="372"/>
      <c r="D62" s="372"/>
      <c r="E62" s="372"/>
      <c r="F62" s="372"/>
      <c r="G62" s="372"/>
      <c r="H62" s="372"/>
      <c r="I62" s="372"/>
      <c r="J62" s="372"/>
      <c r="K62" s="372"/>
    </row>
  </sheetData>
  <mergeCells count="26">
    <mergeCell ref="B11:C11"/>
    <mergeCell ref="D11:E11"/>
    <mergeCell ref="F11:G11"/>
    <mergeCell ref="H11:I11"/>
    <mergeCell ref="A4:H4"/>
    <mergeCell ref="A5:K5"/>
    <mergeCell ref="B7:C7"/>
    <mergeCell ref="B8:C8"/>
    <mergeCell ref="A10:K10"/>
    <mergeCell ref="B12:C12"/>
    <mergeCell ref="D12:E12"/>
    <mergeCell ref="F12:G12"/>
    <mergeCell ref="H12:I12"/>
    <mergeCell ref="B13:C13"/>
    <mergeCell ref="D13:E13"/>
    <mergeCell ref="F13:G13"/>
    <mergeCell ref="H13:I13"/>
    <mergeCell ref="B18:C18"/>
    <mergeCell ref="D18:E18"/>
    <mergeCell ref="A62:K62"/>
    <mergeCell ref="B14:C14"/>
    <mergeCell ref="D14:E14"/>
    <mergeCell ref="D15:E15"/>
    <mergeCell ref="D16:E16"/>
    <mergeCell ref="B17:C17"/>
    <mergeCell ref="D17:E17"/>
  </mergeCells>
  <pageMargins left="0.7" right="0.7" top="0.75" bottom="0.75" header="0.3" footer="0.3"/>
  <pageSetup paperSize="9" scale="8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view="pageBreakPreview" topLeftCell="A10" zoomScale="90" zoomScaleNormal="100" zoomScaleSheetLayoutView="90" workbookViewId="0">
      <selection activeCell="B38" sqref="B38"/>
    </sheetView>
  </sheetViews>
  <sheetFormatPr defaultRowHeight="15" x14ac:dyDescent="0.25"/>
  <cols>
    <col min="1" max="1" width="14.42578125" style="174" customWidth="1"/>
    <col min="2" max="2" width="6" style="174" customWidth="1"/>
    <col min="3" max="3" width="8.7109375" style="174" customWidth="1"/>
    <col min="4" max="10" width="9.140625" style="174"/>
    <col min="11" max="11" width="3.7109375" style="174" customWidth="1"/>
    <col min="12" max="16384" width="9.140625" style="174"/>
  </cols>
  <sheetData>
    <row r="1" spans="1:12" ht="20.100000000000001" customHeight="1" x14ac:dyDescent="0.25"/>
    <row r="2" spans="1:12" ht="39.950000000000003" customHeight="1" x14ac:dyDescent="0.25"/>
    <row r="3" spans="1:12" ht="20.100000000000001" customHeight="1" x14ac:dyDescent="0.25"/>
    <row r="4" spans="1:12" s="177" customFormat="1" ht="18" customHeight="1" x14ac:dyDescent="0.25">
      <c r="A4" s="381" t="s">
        <v>110</v>
      </c>
      <c r="B4" s="381"/>
      <c r="C4" s="381"/>
      <c r="D4" s="381"/>
      <c r="E4" s="381"/>
      <c r="F4" s="381"/>
      <c r="G4" s="381"/>
      <c r="H4" s="381"/>
      <c r="I4" s="175" t="s">
        <v>148</v>
      </c>
      <c r="J4" s="176"/>
      <c r="L4" s="178"/>
    </row>
    <row r="5" spans="1:12" s="177" customFormat="1" ht="25.5" customHeight="1" x14ac:dyDescent="0.25">
      <c r="A5" s="382" t="s">
        <v>111</v>
      </c>
      <c r="B5" s="382"/>
      <c r="C5" s="382"/>
      <c r="D5" s="382"/>
      <c r="E5" s="382"/>
      <c r="F5" s="382"/>
      <c r="G5" s="382"/>
      <c r="H5" s="382"/>
      <c r="I5" s="382"/>
      <c r="J5" s="382"/>
      <c r="K5" s="382"/>
      <c r="L5" s="178"/>
    </row>
    <row r="6" spans="1:12" s="177" customFormat="1" ht="18" customHeight="1" thickBot="1" x14ac:dyDescent="0.3">
      <c r="A6" s="179"/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8"/>
    </row>
    <row r="7" spans="1:12" ht="15.75" x14ac:dyDescent="0.25">
      <c r="A7" s="180" t="s">
        <v>112</v>
      </c>
      <c r="B7" s="392" t="s">
        <v>138</v>
      </c>
      <c r="C7" s="393"/>
    </row>
    <row r="8" spans="1:12" ht="16.5" thickBot="1" x14ac:dyDescent="0.3">
      <c r="A8" s="231" t="s">
        <v>113</v>
      </c>
      <c r="B8" s="404" t="s">
        <v>136</v>
      </c>
      <c r="C8" s="405"/>
    </row>
    <row r="9" spans="1:12" ht="8.25" customHeight="1" x14ac:dyDescent="0.25">
      <c r="A9" s="182"/>
      <c r="B9" s="182"/>
      <c r="C9" s="183"/>
    </row>
    <row r="10" spans="1:12" ht="15.75" thickBot="1" x14ac:dyDescent="0.3">
      <c r="A10" s="387" t="s">
        <v>128</v>
      </c>
      <c r="B10" s="387"/>
      <c r="C10" s="387"/>
      <c r="D10" s="387"/>
      <c r="E10" s="387"/>
      <c r="F10" s="387"/>
      <c r="G10" s="387"/>
      <c r="H10" s="387"/>
      <c r="I10" s="387"/>
      <c r="J10" s="387"/>
      <c r="K10" s="387"/>
    </row>
    <row r="11" spans="1:12" ht="15.75" thickBot="1" x14ac:dyDescent="0.3">
      <c r="A11" s="184" t="s">
        <v>11</v>
      </c>
      <c r="B11" s="377" t="s">
        <v>116</v>
      </c>
      <c r="C11" s="378"/>
      <c r="D11" s="379" t="s">
        <v>19</v>
      </c>
      <c r="E11" s="380"/>
    </row>
    <row r="12" spans="1:12" x14ac:dyDescent="0.25">
      <c r="A12" s="186" t="s">
        <v>119</v>
      </c>
      <c r="B12" s="402" t="s">
        <v>135</v>
      </c>
      <c r="C12" s="403"/>
      <c r="D12" s="366">
        <f>SUM(100-((B39/A39)*100))</f>
        <v>100</v>
      </c>
      <c r="E12" s="367"/>
    </row>
    <row r="13" spans="1:12" x14ac:dyDescent="0.25">
      <c r="A13" s="186" t="s">
        <v>121</v>
      </c>
      <c r="B13" s="402" t="s">
        <v>135</v>
      </c>
      <c r="C13" s="403"/>
      <c r="D13" s="366">
        <f>SUM(100-((B37/A37)*100))</f>
        <v>100</v>
      </c>
      <c r="E13" s="367"/>
    </row>
    <row r="14" spans="1:12" x14ac:dyDescent="0.25">
      <c r="A14" s="186" t="s">
        <v>120</v>
      </c>
      <c r="B14" s="402" t="s">
        <v>135</v>
      </c>
      <c r="C14" s="403"/>
      <c r="D14" s="366">
        <f>SUM(100-((B35/A35)*100))</f>
        <v>100</v>
      </c>
      <c r="E14" s="367"/>
    </row>
    <row r="15" spans="1:12" ht="15.75" thickBot="1" x14ac:dyDescent="0.3">
      <c r="A15" s="232" t="s">
        <v>122</v>
      </c>
      <c r="B15" s="400" t="s">
        <v>135</v>
      </c>
      <c r="C15" s="401"/>
      <c r="D15" s="396">
        <f>SUM(100-((B18/A18)*100))</f>
        <v>100</v>
      </c>
      <c r="E15" s="397"/>
    </row>
    <row r="16" spans="1:12" ht="15.75" thickBot="1" x14ac:dyDescent="0.3"/>
    <row r="17" spans="1:10" ht="15.75" thickBot="1" x14ac:dyDescent="0.3">
      <c r="A17" s="190" t="s">
        <v>123</v>
      </c>
      <c r="B17" s="191" t="s">
        <v>124</v>
      </c>
    </row>
    <row r="18" spans="1:10" ht="12" customHeight="1" thickBot="1" x14ac:dyDescent="0.3">
      <c r="A18" s="256">
        <v>10</v>
      </c>
      <c r="B18" s="233">
        <v>0</v>
      </c>
      <c r="C18" s="174" t="s">
        <v>122</v>
      </c>
      <c r="D18" s="254"/>
      <c r="E18" s="241"/>
      <c r="F18" s="196"/>
      <c r="G18" s="193"/>
      <c r="H18" s="193"/>
      <c r="I18" s="240"/>
      <c r="J18" s="255"/>
    </row>
    <row r="19" spans="1:10" ht="12" customHeight="1" thickBot="1" x14ac:dyDescent="0.3">
      <c r="A19" s="197"/>
      <c r="B19" s="198"/>
      <c r="D19" s="199"/>
      <c r="E19" s="199"/>
      <c r="F19" s="199"/>
      <c r="G19" s="199"/>
      <c r="H19" s="199"/>
      <c r="I19" s="199"/>
      <c r="J19" s="199"/>
    </row>
    <row r="20" spans="1:10" ht="12" customHeight="1" thickTop="1" x14ac:dyDescent="0.25">
      <c r="A20" s="200"/>
      <c r="B20" s="201"/>
      <c r="D20" s="199"/>
      <c r="E20" s="204"/>
      <c r="F20" s="202"/>
      <c r="G20" s="203"/>
      <c r="H20" s="199"/>
      <c r="I20" s="204"/>
      <c r="J20" s="199"/>
    </row>
    <row r="21" spans="1:10" ht="12" customHeight="1" x14ac:dyDescent="0.25">
      <c r="A21" s="200"/>
      <c r="B21" s="201"/>
      <c r="D21" s="199"/>
      <c r="E21" s="205"/>
      <c r="F21" s="202"/>
      <c r="G21" s="206"/>
      <c r="H21" s="199"/>
      <c r="I21" s="205"/>
      <c r="J21" s="199"/>
    </row>
    <row r="22" spans="1:10" ht="12" customHeight="1" x14ac:dyDescent="0.25">
      <c r="A22" s="200"/>
      <c r="B22" s="201"/>
      <c r="D22" s="199"/>
      <c r="E22" s="205"/>
      <c r="F22" s="202"/>
      <c r="G22" s="206"/>
      <c r="H22" s="199"/>
      <c r="I22" s="205"/>
      <c r="J22" s="199"/>
    </row>
    <row r="23" spans="1:10" ht="12" customHeight="1" x14ac:dyDescent="0.25">
      <c r="A23" s="200"/>
      <c r="B23" s="201"/>
      <c r="D23" s="199"/>
      <c r="E23" s="205"/>
      <c r="F23" s="202"/>
      <c r="G23" s="206"/>
      <c r="H23" s="199"/>
      <c r="I23" s="205"/>
      <c r="J23" s="199"/>
    </row>
    <row r="24" spans="1:10" ht="12" customHeight="1" x14ac:dyDescent="0.25">
      <c r="A24" s="200"/>
      <c r="B24" s="201"/>
      <c r="D24" s="199"/>
      <c r="E24" s="205"/>
      <c r="F24" s="202"/>
      <c r="G24" s="206"/>
      <c r="H24" s="199"/>
      <c r="I24" s="205"/>
      <c r="J24" s="199"/>
    </row>
    <row r="25" spans="1:10" ht="12" customHeight="1" x14ac:dyDescent="0.25">
      <c r="A25" s="200"/>
      <c r="B25" s="201"/>
      <c r="D25" s="199"/>
      <c r="E25" s="207"/>
      <c r="F25" s="202"/>
      <c r="G25" s="206"/>
      <c r="H25" s="199"/>
      <c r="I25" s="207"/>
      <c r="J25" s="199"/>
    </row>
    <row r="26" spans="1:10" ht="12" customHeight="1" x14ac:dyDescent="0.25">
      <c r="A26" s="200"/>
      <c r="B26" s="201"/>
      <c r="D26" s="199"/>
      <c r="E26" s="208"/>
      <c r="F26" s="202"/>
      <c r="G26" s="206"/>
      <c r="H26" s="199"/>
      <c r="I26" s="208"/>
      <c r="J26" s="199"/>
    </row>
    <row r="27" spans="1:10" ht="12" customHeight="1" x14ac:dyDescent="0.25">
      <c r="A27" s="200"/>
      <c r="B27" s="201"/>
      <c r="D27" s="199"/>
      <c r="E27" s="208"/>
      <c r="F27" s="202"/>
      <c r="G27" s="206"/>
      <c r="H27" s="199"/>
      <c r="I27" s="208"/>
      <c r="J27" s="199"/>
    </row>
    <row r="28" spans="1:10" ht="12" customHeight="1" x14ac:dyDescent="0.25">
      <c r="A28" s="200"/>
      <c r="B28" s="201"/>
      <c r="D28" s="199"/>
      <c r="E28" s="208"/>
      <c r="F28" s="202"/>
      <c r="G28" s="206"/>
      <c r="H28" s="199"/>
      <c r="I28" s="270"/>
      <c r="J28" s="199"/>
    </row>
    <row r="29" spans="1:10" ht="12" customHeight="1" x14ac:dyDescent="0.25">
      <c r="A29" s="200"/>
      <c r="B29" s="201"/>
      <c r="D29" s="199"/>
      <c r="E29" s="208"/>
      <c r="F29" s="202"/>
      <c r="G29" s="206"/>
      <c r="H29" s="199"/>
      <c r="I29" s="208"/>
      <c r="J29" s="199"/>
    </row>
    <row r="30" spans="1:10" ht="12" customHeight="1" x14ac:dyDescent="0.25">
      <c r="A30" s="200"/>
      <c r="B30" s="201"/>
      <c r="D30" s="199"/>
      <c r="E30" s="208"/>
      <c r="F30" s="202"/>
      <c r="G30" s="206"/>
      <c r="H30" s="199"/>
      <c r="I30" s="239"/>
      <c r="J30" s="199"/>
    </row>
    <row r="31" spans="1:10" ht="12" customHeight="1" x14ac:dyDescent="0.25">
      <c r="A31" s="200"/>
      <c r="B31" s="201"/>
      <c r="D31" s="199"/>
      <c r="E31" s="208"/>
      <c r="F31" s="202"/>
      <c r="G31" s="206"/>
      <c r="H31" s="199"/>
      <c r="I31" s="208"/>
      <c r="J31" s="199"/>
    </row>
    <row r="32" spans="1:10" ht="12" customHeight="1" x14ac:dyDescent="0.25">
      <c r="A32" s="200"/>
      <c r="B32" s="201"/>
      <c r="D32" s="199"/>
      <c r="E32" s="239"/>
      <c r="F32" s="202"/>
      <c r="G32" s="206"/>
      <c r="H32" s="199"/>
      <c r="I32" s="239"/>
      <c r="J32" s="199"/>
    </row>
    <row r="33" spans="1:11" ht="12" customHeight="1" x14ac:dyDescent="0.25">
      <c r="A33" s="200"/>
      <c r="B33" s="201"/>
      <c r="D33" s="199"/>
      <c r="E33" s="208"/>
      <c r="F33" s="202"/>
      <c r="G33" s="206"/>
      <c r="H33" s="199"/>
      <c r="I33" s="208"/>
      <c r="J33" s="199"/>
    </row>
    <row r="34" spans="1:11" ht="12" customHeight="1" thickBot="1" x14ac:dyDescent="0.3">
      <c r="A34" s="200"/>
      <c r="B34" s="201"/>
      <c r="D34" s="199"/>
      <c r="E34" s="208"/>
      <c r="F34" s="202"/>
      <c r="G34" s="206"/>
      <c r="H34" s="199"/>
      <c r="I34" s="239"/>
      <c r="J34" s="199"/>
    </row>
    <row r="35" spans="1:11" ht="12" customHeight="1" thickBot="1" x14ac:dyDescent="0.3">
      <c r="A35" s="248">
        <v>195</v>
      </c>
      <c r="B35" s="210">
        <v>0</v>
      </c>
      <c r="C35" s="174" t="s">
        <v>120</v>
      </c>
      <c r="D35" s="199"/>
      <c r="E35" s="239"/>
      <c r="F35" s="202"/>
      <c r="G35" s="206"/>
      <c r="H35" s="199"/>
      <c r="I35" s="208"/>
      <c r="J35" s="199"/>
    </row>
    <row r="36" spans="1:11" ht="12" customHeight="1" thickBot="1" x14ac:dyDescent="0.3">
      <c r="A36" s="211"/>
      <c r="B36" s="212"/>
      <c r="D36" s="199"/>
      <c r="E36" s="208"/>
      <c r="F36" s="202"/>
      <c r="G36" s="206"/>
      <c r="H36" s="199"/>
      <c r="I36" s="239"/>
      <c r="J36" s="199"/>
    </row>
    <row r="37" spans="1:11" ht="12" customHeight="1" thickBot="1" x14ac:dyDescent="0.3">
      <c r="A37" s="248">
        <v>108</v>
      </c>
      <c r="B37" s="210">
        <v>0</v>
      </c>
      <c r="C37" s="174" t="s">
        <v>121</v>
      </c>
      <c r="D37" s="199"/>
      <c r="E37" s="214"/>
      <c r="F37" s="202"/>
      <c r="G37" s="215"/>
      <c r="H37" s="199"/>
      <c r="I37" s="214"/>
      <c r="J37" s="199"/>
    </row>
    <row r="38" spans="1:11" ht="12" customHeight="1" thickBot="1" x14ac:dyDescent="0.3">
      <c r="A38" s="216"/>
      <c r="B38" s="217"/>
      <c r="D38" s="199"/>
      <c r="E38" s="199"/>
      <c r="F38" s="199"/>
      <c r="G38" s="199"/>
      <c r="H38" s="199"/>
      <c r="I38" s="199"/>
      <c r="J38" s="199"/>
    </row>
    <row r="39" spans="1:11" ht="12" customHeight="1" thickTop="1" thickBot="1" x14ac:dyDescent="0.3">
      <c r="A39" s="248">
        <v>10</v>
      </c>
      <c r="B39" s="210">
        <v>0</v>
      </c>
      <c r="C39" s="174" t="s">
        <v>119</v>
      </c>
      <c r="D39" s="250"/>
      <c r="E39" s="219"/>
      <c r="F39" s="220"/>
      <c r="G39" s="221"/>
      <c r="H39" s="221"/>
      <c r="I39" s="267"/>
      <c r="J39" s="249"/>
    </row>
    <row r="41" spans="1:11" s="230" customFormat="1" ht="11.25" x14ac:dyDescent="0.2">
      <c r="A41" s="229" t="s">
        <v>126</v>
      </c>
      <c r="B41" s="229"/>
    </row>
    <row r="42" spans="1:11" s="230" customFormat="1" ht="41.25" customHeight="1" x14ac:dyDescent="0.2">
      <c r="A42" s="372" t="s">
        <v>127</v>
      </c>
      <c r="B42" s="372"/>
      <c r="C42" s="372"/>
      <c r="D42" s="372"/>
      <c r="E42" s="372"/>
      <c r="F42" s="372"/>
      <c r="G42" s="372"/>
      <c r="H42" s="372"/>
      <c r="I42" s="372"/>
      <c r="J42" s="372"/>
      <c r="K42" s="372"/>
    </row>
  </sheetData>
  <mergeCells count="16">
    <mergeCell ref="B11:C11"/>
    <mergeCell ref="D11:E11"/>
    <mergeCell ref="A4:H4"/>
    <mergeCell ref="A5:K5"/>
    <mergeCell ref="B7:C7"/>
    <mergeCell ref="B8:C8"/>
    <mergeCell ref="A10:K10"/>
    <mergeCell ref="B15:C15"/>
    <mergeCell ref="D15:E15"/>
    <mergeCell ref="A42:K42"/>
    <mergeCell ref="B12:C12"/>
    <mergeCell ref="D12:E12"/>
    <mergeCell ref="B13:C13"/>
    <mergeCell ref="D13:E13"/>
    <mergeCell ref="D14:E14"/>
    <mergeCell ref="B14:C14"/>
  </mergeCells>
  <pageMargins left="0.7" right="0.7" top="0.75" bottom="0.75" header="0.3" footer="0.3"/>
  <pageSetup paperSize="9" scale="9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:fields xmlns:f="http://schemas.fabasoft.com/folio/2007/fields"/>
</file>

<file path=customXml/itemProps1.xml><?xml version="1.0" encoding="utf-8"?>
<ds:datastoreItem xmlns:ds="http://schemas.openxmlformats.org/officeDocument/2006/customXml" ds:itemID="{4E8A9591-F074-446B-902F-511FF79C122F}">
  <ds:schemaRefs>
    <ds:schemaRef ds:uri="http://schemas.fabasoft.com/folio/2007/field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3</vt:i4>
      </vt:variant>
    </vt:vector>
  </HeadingPairs>
  <TitlesOfParts>
    <vt:vector size="8" baseType="lpstr">
      <vt:lpstr>LZIB</vt:lpstr>
      <vt:lpstr>CAT I. RWY 22</vt:lpstr>
      <vt:lpstr>NPA RWY 04</vt:lpstr>
      <vt:lpstr>CAT III. RWY 31</vt:lpstr>
      <vt:lpstr>NPA RWY 13</vt:lpstr>
      <vt:lpstr>'CAT I. RWY 22'!Oblasť_tlače</vt:lpstr>
      <vt:lpstr>LZIB!Oblasť_tlače</vt:lpstr>
      <vt:lpstr>'NPA RWY 04'!Oblasť_tlače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Ferencz</dc:creator>
  <cp:lastModifiedBy>Sulc Jaroslav</cp:lastModifiedBy>
  <cp:revision>1</cp:revision>
  <cp:lastPrinted>2024-05-06T13:42:24Z</cp:lastPrinted>
  <dcterms:created xsi:type="dcterms:W3CDTF">1999-09-27T14:59:37Z</dcterms:created>
  <dcterms:modified xsi:type="dcterms:W3CDTF">2024-05-06T13:42:40Z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SC#COOSYSTEM@1.1:Container">
    <vt:lpwstr>COO.2230.100.2.2211731</vt:lpwstr>
  </property>
  <property fmtid="{D5CDD505-2E9C-101B-9397-08002B2CF9AE}" pid="3" name="FSC#COOELAK@1.1001:Subject">
    <vt:lpwstr/>
  </property>
  <property fmtid="{D5CDD505-2E9C-101B-9397-08002B2CF9AE}" pid="4" name="FSC#COOELAK@1.1001:FileReference">
    <vt:lpwstr>NSL14.1/OKNSS/2015</vt:lpwstr>
  </property>
  <property fmtid="{D5CDD505-2E9C-101B-9397-08002B2CF9AE}" pid="5" name="FSC#COOELAK@1.1001:FileRefYear">
    <vt:lpwstr>2015</vt:lpwstr>
  </property>
  <property fmtid="{D5CDD505-2E9C-101B-9397-08002B2CF9AE}" pid="6" name="FSC#COOELAK@1.1001:FileRefOrdinal">
    <vt:lpwstr>7409</vt:lpwstr>
  </property>
  <property fmtid="{D5CDD505-2E9C-101B-9397-08002B2CF9AE}" pid="7" name="FSC#COOELAK@1.1001:FileRefOU">
    <vt:lpwstr/>
  </property>
  <property fmtid="{D5CDD505-2E9C-101B-9397-08002B2CF9AE}" pid="8" name="FSC#COOELAK@1.1001:Organization">
    <vt:lpwstr>Dopravný úrad</vt:lpwstr>
  </property>
  <property fmtid="{D5CDD505-2E9C-101B-9397-08002B2CF9AE}" pid="9" name="FSC#COOELAK@1.1001:Owner">
    <vt:lpwstr> Ing. Sobolič</vt:lpwstr>
  </property>
  <property fmtid="{D5CDD505-2E9C-101B-9397-08002B2CF9AE}" pid="10" name="FSC#COOELAK@1.1001:OwnerExtension">
    <vt:lpwstr/>
  </property>
  <property fmtid="{D5CDD505-2E9C-101B-9397-08002B2CF9AE}" pid="11" name="FSC#COOELAK@1.1001:OwnerFaxExtension">
    <vt:lpwstr/>
  </property>
  <property fmtid="{D5CDD505-2E9C-101B-9397-08002B2CF9AE}" pid="12" name="FSC#COOELAK@1.1001:DispatchedBy">
    <vt:lpwstr/>
  </property>
  <property fmtid="{D5CDD505-2E9C-101B-9397-08002B2CF9AE}" pid="13" name="FSC#COOELAK@1.1001:DispatchedAt">
    <vt:lpwstr/>
  </property>
  <property fmtid="{D5CDD505-2E9C-101B-9397-08002B2CF9AE}" pid="14" name="FSC#COOELAK@1.1001:ApprovedBy">
    <vt:lpwstr/>
  </property>
  <property fmtid="{D5CDD505-2E9C-101B-9397-08002B2CF9AE}" pid="15" name="FSC#COOELAK@1.1001:ApprovedAt">
    <vt:lpwstr/>
  </property>
  <property fmtid="{D5CDD505-2E9C-101B-9397-08002B2CF9AE}" pid="16" name="FSC#COOELAK@1.1001:Department">
    <vt:lpwstr>OKNSS (Odbor komunikačných, navigačných a sledovacích služieb)</vt:lpwstr>
  </property>
  <property fmtid="{D5CDD505-2E9C-101B-9397-08002B2CF9AE}" pid="17" name="FSC#COOELAK@1.1001:CreatedAt">
    <vt:lpwstr>24.03.2015</vt:lpwstr>
  </property>
  <property fmtid="{D5CDD505-2E9C-101B-9397-08002B2CF9AE}" pid="18" name="FSC#COOELAK@1.1001:OU">
    <vt:lpwstr>OKNSS (Odbor komunikačných, navigačných a sledovacích služieb)</vt:lpwstr>
  </property>
  <property fmtid="{D5CDD505-2E9C-101B-9397-08002B2CF9AE}" pid="19" name="FSC#COOELAK@1.1001:Priority">
    <vt:lpwstr/>
  </property>
  <property fmtid="{D5CDD505-2E9C-101B-9397-08002B2CF9AE}" pid="20" name="FSC#COOELAK@1.1001:ObjBarCode">
    <vt:lpwstr>*COO.2230.100.2.2211731*</vt:lpwstr>
  </property>
  <property fmtid="{D5CDD505-2E9C-101B-9397-08002B2CF9AE}" pid="21" name="FSC#COOELAK@1.1001:RefBarCode">
    <vt:lpwstr/>
  </property>
  <property fmtid="{D5CDD505-2E9C-101B-9397-08002B2CF9AE}" pid="22" name="FSC#COOELAK@1.1001:FileRefBarCode">
    <vt:lpwstr>*NSL14.1/OKNSS/2015*</vt:lpwstr>
  </property>
  <property fmtid="{D5CDD505-2E9C-101B-9397-08002B2CF9AE}" pid="23" name="FSC#COOELAK@1.1001:ExternalRef">
    <vt:lpwstr/>
  </property>
  <property fmtid="{D5CDD505-2E9C-101B-9397-08002B2CF9AE}" pid="24" name="FSC#COOELAK@1.1001:IncomingNumber">
    <vt:lpwstr>10266/2015</vt:lpwstr>
  </property>
  <property fmtid="{D5CDD505-2E9C-101B-9397-08002B2CF9AE}" pid="25" name="FSC#COOELAK@1.1001:IncomingSubject">
    <vt:lpwstr>FLTCK SZZ 03/2015 LZIB</vt:lpwstr>
  </property>
  <property fmtid="{D5CDD505-2E9C-101B-9397-08002B2CF9AE}" pid="26" name="FSC#COOELAK@1.1001:ProcessResponsible">
    <vt:lpwstr/>
  </property>
  <property fmtid="{D5CDD505-2E9C-101B-9397-08002B2CF9AE}" pid="27" name="FSC#COOELAK@1.1001:ProcessResponsiblePhone">
    <vt:lpwstr/>
  </property>
  <property fmtid="{D5CDD505-2E9C-101B-9397-08002B2CF9AE}" pid="28" name="FSC#COOELAK@1.1001:ProcessResponsibleMail">
    <vt:lpwstr/>
  </property>
  <property fmtid="{D5CDD505-2E9C-101B-9397-08002B2CF9AE}" pid="29" name="FSC#COOELAK@1.1001:ProcessResponsibleFax">
    <vt:lpwstr/>
  </property>
  <property fmtid="{D5CDD505-2E9C-101B-9397-08002B2CF9AE}" pid="30" name="FSC#COOELAK@1.1001:ApproverFirstName">
    <vt:lpwstr/>
  </property>
  <property fmtid="{D5CDD505-2E9C-101B-9397-08002B2CF9AE}" pid="31" name="FSC#COOELAK@1.1001:ApproverSurName">
    <vt:lpwstr/>
  </property>
  <property fmtid="{D5CDD505-2E9C-101B-9397-08002B2CF9AE}" pid="32" name="FSC#COOELAK@1.1001:ApproverTitle">
    <vt:lpwstr/>
  </property>
  <property fmtid="{D5CDD505-2E9C-101B-9397-08002B2CF9AE}" pid="33" name="FSC#COOELAK@1.1001:ExternalDate">
    <vt:lpwstr/>
  </property>
  <property fmtid="{D5CDD505-2E9C-101B-9397-08002B2CF9AE}" pid="34" name="FSC#COOELAK@1.1001:SettlementApprovedAt">
    <vt:lpwstr/>
  </property>
  <property fmtid="{D5CDD505-2E9C-101B-9397-08002B2CF9AE}" pid="35" name="FSC#COOELAK@1.1001:BaseNumber">
    <vt:lpwstr/>
  </property>
  <property fmtid="{D5CDD505-2E9C-101B-9397-08002B2CF9AE}" pid="36" name="FSC#COOELAK@1.1001:CurrentUserRolePos">
    <vt:lpwstr>referent 1</vt:lpwstr>
  </property>
  <property fmtid="{D5CDD505-2E9C-101B-9397-08002B2CF9AE}" pid="37" name="FSC#COOELAK@1.1001:CurrentUserEmail">
    <vt:lpwstr>lubomir.sobolic@nsat.sk</vt:lpwstr>
  </property>
  <property fmtid="{D5CDD505-2E9C-101B-9397-08002B2CF9AE}" pid="38" name="FSC#ELAKGOV@1.1001:PersonalSubjGender">
    <vt:lpwstr/>
  </property>
  <property fmtid="{D5CDD505-2E9C-101B-9397-08002B2CF9AE}" pid="39" name="FSC#ELAKGOV@1.1001:PersonalSubjFirstName">
    <vt:lpwstr/>
  </property>
  <property fmtid="{D5CDD505-2E9C-101B-9397-08002B2CF9AE}" pid="40" name="FSC#ELAKGOV@1.1001:PersonalSubjSurName">
    <vt:lpwstr/>
  </property>
  <property fmtid="{D5CDD505-2E9C-101B-9397-08002B2CF9AE}" pid="41" name="FSC#ELAKGOV@1.1001:PersonalSubjSalutation">
    <vt:lpwstr/>
  </property>
  <property fmtid="{D5CDD505-2E9C-101B-9397-08002B2CF9AE}" pid="42" name="FSC#ELAKGOV@1.1001:PersonalSubjAddress">
    <vt:lpwstr/>
  </property>
  <property fmtid="{D5CDD505-2E9C-101B-9397-08002B2CF9AE}" pid="43" name="FSC#ATSTATECFG@1.1001:Office">
    <vt:lpwstr/>
  </property>
  <property fmtid="{D5CDD505-2E9C-101B-9397-08002B2CF9AE}" pid="44" name="FSC#ATSTATECFG@1.1001:Agent">
    <vt:lpwstr/>
  </property>
  <property fmtid="{D5CDD505-2E9C-101B-9397-08002B2CF9AE}" pid="45" name="FSC#ATSTATECFG@1.1001:AgentPhone">
    <vt:lpwstr/>
  </property>
  <property fmtid="{D5CDD505-2E9C-101B-9397-08002B2CF9AE}" pid="46" name="FSC#ATSTATECFG@1.1001:DepartmentFax">
    <vt:lpwstr/>
  </property>
  <property fmtid="{D5CDD505-2E9C-101B-9397-08002B2CF9AE}" pid="47" name="FSC#ATSTATECFG@1.1001:DepartmentEMail">
    <vt:lpwstr/>
  </property>
  <property fmtid="{D5CDD505-2E9C-101B-9397-08002B2CF9AE}" pid="48" name="FSC#ATSTATECFG@1.1001:SubfileDate">
    <vt:lpwstr>24.03.2015</vt:lpwstr>
  </property>
  <property fmtid="{D5CDD505-2E9C-101B-9397-08002B2CF9AE}" pid="49" name="FSC#ATSTATECFG@1.1001:SubfileSubject">
    <vt:lpwstr>FLTCK SZZ 03/2015 LZIB</vt:lpwstr>
  </property>
  <property fmtid="{D5CDD505-2E9C-101B-9397-08002B2CF9AE}" pid="50" name="FSC#ATSTATECFG@1.1001:DepartmentZipCode">
    <vt:lpwstr/>
  </property>
  <property fmtid="{D5CDD505-2E9C-101B-9397-08002B2CF9AE}" pid="51" name="FSC#ATSTATECFG@1.1001:DepartmentCountry">
    <vt:lpwstr/>
  </property>
  <property fmtid="{D5CDD505-2E9C-101B-9397-08002B2CF9AE}" pid="52" name="FSC#ATSTATECFG@1.1001:DepartmentCity">
    <vt:lpwstr/>
  </property>
  <property fmtid="{D5CDD505-2E9C-101B-9397-08002B2CF9AE}" pid="53" name="FSC#ATSTATECFG@1.1001:DepartmentStreet">
    <vt:lpwstr/>
  </property>
  <property fmtid="{D5CDD505-2E9C-101B-9397-08002B2CF9AE}" pid="54" name="FSC#ATSTATECFG@1.1001:DepartmentDVR">
    <vt:lpwstr/>
  </property>
  <property fmtid="{D5CDD505-2E9C-101B-9397-08002B2CF9AE}" pid="55" name="FSC#ATSTATECFG@1.1001:DepartmentUID">
    <vt:lpwstr/>
  </property>
  <property fmtid="{D5CDD505-2E9C-101B-9397-08002B2CF9AE}" pid="56" name="FSC#ATSTATECFG@1.1001:SubfileReference">
    <vt:lpwstr>NSL14.1/OKNSS/2015/0001</vt:lpwstr>
  </property>
  <property fmtid="{D5CDD505-2E9C-101B-9397-08002B2CF9AE}" pid="57" name="FSC#ATSTATECFG@1.1001:Clause">
    <vt:lpwstr/>
  </property>
  <property fmtid="{D5CDD505-2E9C-101B-9397-08002B2CF9AE}" pid="58" name="FSC#ATSTATECFG@1.1001:ExternalFile">
    <vt:lpwstr/>
  </property>
  <property fmtid="{D5CDD505-2E9C-101B-9397-08002B2CF9AE}" pid="59" name="FSC#ATSTATECFG@1.1001:ApprovedSignature">
    <vt:lpwstr/>
  </property>
  <property fmtid="{D5CDD505-2E9C-101B-9397-08002B2CF9AE}" pid="60" name="FSC#ATSTATECFG@1.1001:BankAccount">
    <vt:lpwstr/>
  </property>
  <property fmtid="{D5CDD505-2E9C-101B-9397-08002B2CF9AE}" pid="61" name="FSC#ATSTATECFG@1.1001:BankAccountOwner">
    <vt:lpwstr/>
  </property>
  <property fmtid="{D5CDD505-2E9C-101B-9397-08002B2CF9AE}" pid="62" name="FSC#ATSTATECFG@1.1001:BankInstitute">
    <vt:lpwstr/>
  </property>
  <property fmtid="{D5CDD505-2E9C-101B-9397-08002B2CF9AE}" pid="63" name="FSC#ATSTATECFG@1.1001:BankAccountID">
    <vt:lpwstr/>
  </property>
  <property fmtid="{D5CDD505-2E9C-101B-9397-08002B2CF9AE}" pid="64" name="FSC#ATSTATECFG@1.1001:BankAccountIBAN">
    <vt:lpwstr/>
  </property>
  <property fmtid="{D5CDD505-2E9C-101B-9397-08002B2CF9AE}" pid="65" name="FSC#ATSTATECFG@1.1001:BankAccountBIC">
    <vt:lpwstr/>
  </property>
  <property fmtid="{D5CDD505-2E9C-101B-9397-08002B2CF9AE}" pid="66" name="FSC#ATSTATECFG@1.1001:BankName">
    <vt:lpwstr/>
  </property>
  <property fmtid="{D5CDD505-2E9C-101B-9397-08002B2CF9AE}" pid="67" name="FSC#SKPRECONFIG@1.1001:a_acceptor">
    <vt:lpwstr/>
  </property>
  <property fmtid="{D5CDD505-2E9C-101B-9397-08002B2CF9AE}" pid="68" name="FSC#SKPRECONFIG@1.1001:a_clearedat">
    <vt:lpwstr/>
  </property>
  <property fmtid="{D5CDD505-2E9C-101B-9397-08002B2CF9AE}" pid="69" name="FSC#SKPRECONFIG@1.1001:a_clearedby">
    <vt:lpwstr/>
  </property>
  <property fmtid="{D5CDD505-2E9C-101B-9397-08002B2CF9AE}" pid="70" name="FSC#SKPRECONFIG@1.1001:a_comm">
    <vt:lpwstr/>
  </property>
  <property fmtid="{D5CDD505-2E9C-101B-9397-08002B2CF9AE}" pid="71" name="FSC#SKPRECONFIG@1.1001:a_decisionattachments">
    <vt:lpwstr/>
  </property>
  <property fmtid="{D5CDD505-2E9C-101B-9397-08002B2CF9AE}" pid="72" name="FSC#SKPRECONFIG@1.1001:a_deliveredat">
    <vt:lpwstr/>
  </property>
  <property fmtid="{D5CDD505-2E9C-101B-9397-08002B2CF9AE}" pid="73" name="FSC#SKPRECONFIG@1.1001:a_delivery">
    <vt:lpwstr/>
  </property>
  <property fmtid="{D5CDD505-2E9C-101B-9397-08002B2CF9AE}" pid="74" name="FSC#SKPRECONFIG@1.1001:a_extension">
    <vt:lpwstr/>
  </property>
  <property fmtid="{D5CDD505-2E9C-101B-9397-08002B2CF9AE}" pid="75" name="FSC#SKPRECONFIG@1.1001:a_filenumber">
    <vt:lpwstr/>
  </property>
  <property fmtid="{D5CDD505-2E9C-101B-9397-08002B2CF9AE}" pid="76" name="FSC#SKPRECONFIG@1.1001:a_fileresponsible">
    <vt:lpwstr/>
  </property>
  <property fmtid="{D5CDD505-2E9C-101B-9397-08002B2CF9AE}" pid="77" name="FSC#SKPRECONFIG@1.1001:a_fileresporg">
    <vt:lpwstr/>
  </property>
  <property fmtid="{D5CDD505-2E9C-101B-9397-08002B2CF9AE}" pid="78" name="FSC#SKPRECONFIG@1.1001:a_fileresporg_email_OU">
    <vt:lpwstr/>
  </property>
  <property fmtid="{D5CDD505-2E9C-101B-9397-08002B2CF9AE}" pid="79" name="FSC#SKPRECONFIG@1.1001:a_fileresporg_emailaddress">
    <vt:lpwstr/>
  </property>
  <property fmtid="{D5CDD505-2E9C-101B-9397-08002B2CF9AE}" pid="80" name="FSC#SKPRECONFIG@1.1001:a_fileresporg_fax">
    <vt:lpwstr/>
  </property>
  <property fmtid="{D5CDD505-2E9C-101B-9397-08002B2CF9AE}" pid="81" name="FSC#SKPRECONFIG@1.1001:a_fileresporg_fax_OU">
    <vt:lpwstr/>
  </property>
  <property fmtid="{D5CDD505-2E9C-101B-9397-08002B2CF9AE}" pid="82" name="FSC#SKPRECONFIG@1.1001:a_fileresporg_function">
    <vt:lpwstr/>
  </property>
  <property fmtid="{D5CDD505-2E9C-101B-9397-08002B2CF9AE}" pid="83" name="FSC#SKPRECONFIG@1.1001:a_fileresporg_function_OU">
    <vt:lpwstr/>
  </property>
  <property fmtid="{D5CDD505-2E9C-101B-9397-08002B2CF9AE}" pid="84" name="FSC#SKPRECONFIG@1.1001:a_fileresporg_head">
    <vt:lpwstr/>
  </property>
  <property fmtid="{D5CDD505-2E9C-101B-9397-08002B2CF9AE}" pid="85" name="FSC#SKPRECONFIG@1.1001:a_fileresporg_head_OU">
    <vt:lpwstr/>
  </property>
  <property fmtid="{D5CDD505-2E9C-101B-9397-08002B2CF9AE}" pid="86" name="FSC#SKPRECONFIG@1.1001:a_fileresporg_OU">
    <vt:lpwstr/>
  </property>
  <property fmtid="{D5CDD505-2E9C-101B-9397-08002B2CF9AE}" pid="87" name="FSC#SKPRECONFIG@1.1001:a_fileresporg_phone">
    <vt:lpwstr/>
  </property>
  <property fmtid="{D5CDD505-2E9C-101B-9397-08002B2CF9AE}" pid="88" name="FSC#SKPRECONFIG@1.1001:a_fileresporg_phone_OU">
    <vt:lpwstr/>
  </property>
  <property fmtid="{D5CDD505-2E9C-101B-9397-08002B2CF9AE}" pid="89" name="FSC#SKPRECONFIG@1.1001:a_filesubj">
    <vt:lpwstr/>
  </property>
  <property fmtid="{D5CDD505-2E9C-101B-9397-08002B2CF9AE}" pid="90" name="FSC#SKPRECONFIG@1.1001:a_incattachments">
    <vt:lpwstr/>
  </property>
  <property fmtid="{D5CDD505-2E9C-101B-9397-08002B2CF9AE}" pid="91" name="FSC#SKPRECONFIG@1.1001:a_incnr">
    <vt:lpwstr/>
  </property>
  <property fmtid="{D5CDD505-2E9C-101B-9397-08002B2CF9AE}" pid="92" name="FSC#SKPRECONFIG@1.1001:a_objcreatedstr">
    <vt:lpwstr/>
  </property>
  <property fmtid="{D5CDD505-2E9C-101B-9397-08002B2CF9AE}" pid="93" name="FSC#SKPRECONFIG@1.1001:a_ordernumber">
    <vt:lpwstr/>
  </property>
  <property fmtid="{D5CDD505-2E9C-101B-9397-08002B2CF9AE}" pid="94" name="FSC#SKPRECONFIG@1.1001:a_oursign">
    <vt:lpwstr/>
  </property>
  <property fmtid="{D5CDD505-2E9C-101B-9397-08002B2CF9AE}" pid="95" name="FSC#SKPRECONFIG@1.1001:a_sendersign">
    <vt:lpwstr/>
  </property>
  <property fmtid="{D5CDD505-2E9C-101B-9397-08002B2CF9AE}" pid="96" name="FSC#SKPRECONFIG@1.1001:a_shortou">
    <vt:lpwstr/>
  </property>
  <property fmtid="{D5CDD505-2E9C-101B-9397-08002B2CF9AE}" pid="97" name="FSC#SKPRECONFIG@1.1001:a_testsalutation">
    <vt:lpwstr/>
  </property>
  <property fmtid="{D5CDD505-2E9C-101B-9397-08002B2CF9AE}" pid="98" name="FSC#SKPRECONFIG@1.1001:a_validfrom">
    <vt:lpwstr/>
  </property>
  <property fmtid="{D5CDD505-2E9C-101B-9397-08002B2CF9AE}" pid="99" name="FSC#SKPRECONFIG@1.1001:as_activity">
    <vt:lpwstr/>
  </property>
  <property fmtid="{D5CDD505-2E9C-101B-9397-08002B2CF9AE}" pid="100" name="FSC#SKPRECONFIG@1.1001:as_docdate">
    <vt:lpwstr/>
  </property>
  <property fmtid="{D5CDD505-2E9C-101B-9397-08002B2CF9AE}" pid="101" name="FSC#SKPRECONFIG@1.1001:as_establishdate">
    <vt:lpwstr/>
  </property>
  <property fmtid="{D5CDD505-2E9C-101B-9397-08002B2CF9AE}" pid="102" name="FSC#SKPRECONFIG@1.1001:as_fileresphead">
    <vt:lpwstr/>
  </property>
  <property fmtid="{D5CDD505-2E9C-101B-9397-08002B2CF9AE}" pid="103" name="FSC#SKPRECONFIG@1.1001:as_filerespheadfnct">
    <vt:lpwstr/>
  </property>
  <property fmtid="{D5CDD505-2E9C-101B-9397-08002B2CF9AE}" pid="104" name="FSC#SKPRECONFIG@1.1001:as_fileresponsible">
    <vt:lpwstr/>
  </property>
  <property fmtid="{D5CDD505-2E9C-101B-9397-08002B2CF9AE}" pid="105" name="FSC#SKPRECONFIG@1.1001:as_filesubj">
    <vt:lpwstr/>
  </property>
  <property fmtid="{D5CDD505-2E9C-101B-9397-08002B2CF9AE}" pid="106" name="FSC#SKPRECONFIG@1.1001:as_objname">
    <vt:lpwstr/>
  </property>
  <property fmtid="{D5CDD505-2E9C-101B-9397-08002B2CF9AE}" pid="107" name="FSC#SKPRECONFIG@1.1001:as_ou">
    <vt:lpwstr/>
  </property>
  <property fmtid="{D5CDD505-2E9C-101B-9397-08002B2CF9AE}" pid="108" name="FSC#SKPRECONFIG@1.1001:as_owner">
    <vt:lpwstr>Ing. Ľubomír Sobolič</vt:lpwstr>
  </property>
  <property fmtid="{D5CDD505-2E9C-101B-9397-08002B2CF9AE}" pid="109" name="FSC#SKPRECONFIG@1.1001:as_phonelink">
    <vt:lpwstr/>
  </property>
  <property fmtid="{D5CDD505-2E9C-101B-9397-08002B2CF9AE}" pid="110" name="FSC#SKPRECONFIG@1.1001:oz_externAdr">
    <vt:lpwstr/>
  </property>
  <property fmtid="{D5CDD505-2E9C-101B-9397-08002B2CF9AE}" pid="111" name="FSC#SKPRECONFIGSK@10.2600:a_depositperiod">
    <vt:lpwstr/>
  </property>
  <property fmtid="{D5CDD505-2E9C-101B-9397-08002B2CF9AE}" pid="112" name="FSC#SKPRECONFIGSK@10.2600:a_disposestate">
    <vt:lpwstr/>
  </property>
  <property fmtid="{D5CDD505-2E9C-101B-9397-08002B2CF9AE}" pid="113" name="FSC#SKPRECONFIGSK@10.2600:a_fileresponsiblefnct">
    <vt:lpwstr/>
  </property>
  <property fmtid="{D5CDD505-2E9C-101B-9397-08002B2CF9AE}" pid="114" name="FSC#SKPRECONFIGSK@10.2600:a_osobnecislosprac">
    <vt:lpwstr/>
  </property>
  <property fmtid="{D5CDD505-2E9C-101B-9397-08002B2CF9AE}" pid="115" name="FSC#SKPRECONFIGSK@10.2600:a_registrysign">
    <vt:lpwstr/>
  </property>
  <property fmtid="{D5CDD505-2E9C-101B-9397-08002B2CF9AE}" pid="116" name="FSC#SKPRECONFIGSK@10.2600:a_subfileatt">
    <vt:lpwstr/>
  </property>
  <property fmtid="{D5CDD505-2E9C-101B-9397-08002B2CF9AE}" pid="117" name="FSC#SKPRECONFIGSK@10.2600:as_filesubjall">
    <vt:lpwstr/>
  </property>
  <property fmtid="{D5CDD505-2E9C-101B-9397-08002B2CF9AE}" pid="118" name="FSC#SKPRECONFIGSK@10.2600:curruserrolegroup">
    <vt:lpwstr>Odbor komunikačných, navigačných a sledovacích služieb</vt:lpwstr>
  </property>
  <property fmtid="{D5CDD505-2E9C-101B-9397-08002B2CF9AE}" pid="119" name="FSC#SKPRECONFIGSK@10.2600:currusersubst">
    <vt:lpwstr/>
  </property>
  <property fmtid="{D5CDD505-2E9C-101B-9397-08002B2CF9AE}" pid="120" name="FSC#SKPRECONFIGSK@10.2600:emailsprac">
    <vt:lpwstr/>
  </property>
  <property fmtid="{D5CDD505-2E9C-101B-9397-08002B2CF9AE}" pid="121" name="FSC#SKPRECONFIGSK@10.2600:ms_VyskladaniePoznamok">
    <vt:lpwstr/>
  </property>
  <property fmtid="{D5CDD505-2E9C-101B-9397-08002B2CF9AE}" pid="122" name="FSC#SKPRECONFIGSK@10.2600:oumlname_fnct">
    <vt:lpwstr/>
  </property>
  <property fmtid="{D5CDD505-2E9C-101B-9397-08002B2CF9AE}" pid="123" name="FSC#SKPRECONFIGSK@10.2600:viz_clearedat">
    <vt:lpwstr/>
  </property>
  <property fmtid="{D5CDD505-2E9C-101B-9397-08002B2CF9AE}" pid="124" name="FSC#SKPRECONFIGSK@10.2600:viz_clearedby">
    <vt:lpwstr/>
  </property>
  <property fmtid="{D5CDD505-2E9C-101B-9397-08002B2CF9AE}" pid="125" name="FSC#SKPRECONFIGSK@10.2600:viz_comm">
    <vt:lpwstr/>
  </property>
  <property fmtid="{D5CDD505-2E9C-101B-9397-08002B2CF9AE}" pid="126" name="FSC#SKPRECONFIGSK@10.2600:viz_decisionattachments">
    <vt:lpwstr/>
  </property>
  <property fmtid="{D5CDD505-2E9C-101B-9397-08002B2CF9AE}" pid="127" name="FSC#SKPRECONFIGSK@10.2600:viz_deliveredat">
    <vt:lpwstr/>
  </property>
  <property fmtid="{D5CDD505-2E9C-101B-9397-08002B2CF9AE}" pid="128" name="FSC#SKPRECONFIGSK@10.2600:viz_delivery">
    <vt:lpwstr/>
  </property>
  <property fmtid="{D5CDD505-2E9C-101B-9397-08002B2CF9AE}" pid="129" name="FSC#SKPRECONFIGSK@10.2600:viz_extension">
    <vt:lpwstr/>
  </property>
  <property fmtid="{D5CDD505-2E9C-101B-9397-08002B2CF9AE}" pid="130" name="FSC#SKPRECONFIGSK@10.2600:viz_filenumber">
    <vt:lpwstr/>
  </property>
  <property fmtid="{D5CDD505-2E9C-101B-9397-08002B2CF9AE}" pid="131" name="FSC#SKPRECONFIGSK@10.2600:viz_fileresponsible">
    <vt:lpwstr/>
  </property>
  <property fmtid="{D5CDD505-2E9C-101B-9397-08002B2CF9AE}" pid="132" name="FSC#SKPRECONFIGSK@10.2600:viz_fileresporg">
    <vt:lpwstr/>
  </property>
  <property fmtid="{D5CDD505-2E9C-101B-9397-08002B2CF9AE}" pid="133" name="FSC#SKPRECONFIGSK@10.2600:viz_fileresporg_email_OU">
    <vt:lpwstr/>
  </property>
  <property fmtid="{D5CDD505-2E9C-101B-9397-08002B2CF9AE}" pid="134" name="FSC#SKPRECONFIGSK@10.2600:viz_fileresporg_emailaddress">
    <vt:lpwstr/>
  </property>
  <property fmtid="{D5CDD505-2E9C-101B-9397-08002B2CF9AE}" pid="135" name="FSC#SKPRECONFIGSK@10.2600:viz_fileresporg_fax">
    <vt:lpwstr/>
  </property>
  <property fmtid="{D5CDD505-2E9C-101B-9397-08002B2CF9AE}" pid="136" name="FSC#SKPRECONFIGSK@10.2600:viz_fileresporg_fax_OU">
    <vt:lpwstr/>
  </property>
  <property fmtid="{D5CDD505-2E9C-101B-9397-08002B2CF9AE}" pid="137" name="FSC#SKPRECONFIGSK@10.2600:viz_fileresporg_function">
    <vt:lpwstr/>
  </property>
  <property fmtid="{D5CDD505-2E9C-101B-9397-08002B2CF9AE}" pid="138" name="FSC#SKPRECONFIGSK@10.2600:viz_fileresporg_function_OU">
    <vt:lpwstr/>
  </property>
  <property fmtid="{D5CDD505-2E9C-101B-9397-08002B2CF9AE}" pid="139" name="FSC#SKPRECONFIGSK@10.2600:viz_fileresporg_head">
    <vt:lpwstr/>
  </property>
  <property fmtid="{D5CDD505-2E9C-101B-9397-08002B2CF9AE}" pid="140" name="FSC#SKPRECONFIGSK@10.2600:viz_fileresporg_head_OU">
    <vt:lpwstr/>
  </property>
  <property fmtid="{D5CDD505-2E9C-101B-9397-08002B2CF9AE}" pid="141" name="FSC#SKPRECONFIGSK@10.2600:viz_fileresporg_longname">
    <vt:lpwstr/>
  </property>
  <property fmtid="{D5CDD505-2E9C-101B-9397-08002B2CF9AE}" pid="142" name="FSC#SKPRECONFIGSK@10.2600:viz_fileresporg_mesto">
    <vt:lpwstr/>
  </property>
  <property fmtid="{D5CDD505-2E9C-101B-9397-08002B2CF9AE}" pid="143" name="FSC#SKPRECONFIGSK@10.2600:viz_fileresporg_OU">
    <vt:lpwstr/>
  </property>
  <property fmtid="{D5CDD505-2E9C-101B-9397-08002B2CF9AE}" pid="144" name="FSC#SKPRECONFIGSK@10.2600:viz_fileresporg_phone">
    <vt:lpwstr/>
  </property>
  <property fmtid="{D5CDD505-2E9C-101B-9397-08002B2CF9AE}" pid="145" name="FSC#SKPRECONFIGSK@10.2600:viz_fileresporg_phone_OU">
    <vt:lpwstr/>
  </property>
  <property fmtid="{D5CDD505-2E9C-101B-9397-08002B2CF9AE}" pid="146" name="FSC#SKPRECONFIGSK@10.2600:viz_fileresporg_psc">
    <vt:lpwstr/>
  </property>
  <property fmtid="{D5CDD505-2E9C-101B-9397-08002B2CF9AE}" pid="147" name="FSC#SKPRECONFIGSK@10.2600:viz_fileresporg_sekcia">
    <vt:lpwstr/>
  </property>
  <property fmtid="{D5CDD505-2E9C-101B-9397-08002B2CF9AE}" pid="148" name="FSC#SKPRECONFIGSK@10.2600:viz_fileresporg_stat">
    <vt:lpwstr/>
  </property>
  <property fmtid="{D5CDD505-2E9C-101B-9397-08002B2CF9AE}" pid="149" name="FSC#SKPRECONFIGSK@10.2600:viz_fileresporg_ulica">
    <vt:lpwstr/>
  </property>
  <property fmtid="{D5CDD505-2E9C-101B-9397-08002B2CF9AE}" pid="150" name="FSC#SKPRECONFIGSK@10.2600:viz_fileresporgknazov">
    <vt:lpwstr/>
  </property>
  <property fmtid="{D5CDD505-2E9C-101B-9397-08002B2CF9AE}" pid="151" name="FSC#SKPRECONFIGSK@10.2600:viz_filesubj">
    <vt:lpwstr/>
  </property>
  <property fmtid="{D5CDD505-2E9C-101B-9397-08002B2CF9AE}" pid="152" name="FSC#SKPRECONFIGSK@10.2600:viz_incattachments">
    <vt:lpwstr/>
  </property>
  <property fmtid="{D5CDD505-2E9C-101B-9397-08002B2CF9AE}" pid="153" name="FSC#SKPRECONFIGSK@10.2600:viz_incnr">
    <vt:lpwstr/>
  </property>
  <property fmtid="{D5CDD505-2E9C-101B-9397-08002B2CF9AE}" pid="154" name="FSC#SKPRECONFIGSK@10.2600:viz_intletterrecivers">
    <vt:lpwstr/>
  </property>
  <property fmtid="{D5CDD505-2E9C-101B-9397-08002B2CF9AE}" pid="155" name="FSC#SKPRECONFIGSK@10.2600:viz_objcreatedstr">
    <vt:lpwstr/>
  </property>
  <property fmtid="{D5CDD505-2E9C-101B-9397-08002B2CF9AE}" pid="156" name="FSC#SKPRECONFIGSK@10.2600:viz_ordernumber">
    <vt:lpwstr/>
  </property>
  <property fmtid="{D5CDD505-2E9C-101B-9397-08002B2CF9AE}" pid="157" name="FSC#SKPRECONFIGSK@10.2600:viz_oursign">
    <vt:lpwstr/>
  </property>
  <property fmtid="{D5CDD505-2E9C-101B-9397-08002B2CF9AE}" pid="158" name="FSC#SKPRECONFIGSK@10.2600:viz_sendersign">
    <vt:lpwstr/>
  </property>
  <property fmtid="{D5CDD505-2E9C-101B-9397-08002B2CF9AE}" pid="159" name="FSC#SKPRECONFIGSK@10.2600:viz_shortfileresporg">
    <vt:lpwstr/>
  </property>
  <property fmtid="{D5CDD505-2E9C-101B-9397-08002B2CF9AE}" pid="160" name="FSC#SKPRECONFIGSK@10.2600:viz_testsalutation">
    <vt:lpwstr/>
  </property>
  <property fmtid="{D5CDD505-2E9C-101B-9397-08002B2CF9AE}" pid="161" name="FSC#SKPRECONFIGSK@10.2600:viz_validfrom">
    <vt:lpwstr/>
  </property>
  <property fmtid="{D5CDD505-2E9C-101B-9397-08002B2CF9AE}" pid="162" name="FSC#SKPRECONFIGSK@10.2600:viz_fileresporg_sekcia_head">
    <vt:lpwstr/>
  </property>
  <property fmtid="{D5CDD505-2E9C-101B-9397-08002B2CF9AE}" pid="163" name="FSC#SKPRECONFIGSK@10.2600:viz_fileresporg_sekcia_function">
    <vt:lpwstr/>
  </property>
  <property fmtid="{D5CDD505-2E9C-101B-9397-08002B2CF9AE}" pid="164" name="FSC#SKPRECONFIGSK@10.2600:viz_fileresporg_odbor_head">
    <vt:lpwstr/>
  </property>
  <property fmtid="{D5CDD505-2E9C-101B-9397-08002B2CF9AE}" pid="165" name="FSC#SKPRECONFIGSK@10.2600:viz_fileresporg_odbor_function">
    <vt:lpwstr/>
  </property>
  <property fmtid="{D5CDD505-2E9C-101B-9397-08002B2CF9AE}" pid="166" name="FSC#SKPRECONFIGSK@10.2600:viz_fileresporg_odbor">
    <vt:lpwstr/>
  </property>
  <property fmtid="{D5CDD505-2E9C-101B-9397-08002B2CF9AE}" pid="167" name="FSC#SKPRECONFIGSK@10.2600:CreatedAt">
    <vt:lpwstr>24. 3. 2015, 13:54</vt:lpwstr>
  </property>
  <property fmtid="{D5CDD505-2E9C-101B-9397-08002B2CF9AE}" pid="168" name="FSC#SKPRECONFIGSK@10.2600:zaznam_vnut_adresati_1">
    <vt:lpwstr/>
  </property>
  <property fmtid="{D5CDD505-2E9C-101B-9397-08002B2CF9AE}" pid="169" name="FSC#SKPRECONFIGSK@10.2600:zaznam_vnut_adresati_2">
    <vt:lpwstr/>
  </property>
  <property fmtid="{D5CDD505-2E9C-101B-9397-08002B2CF9AE}" pid="170" name="FSC#SKPRECONFIGSK@10.2600:zaznam_vnut_adresati_3">
    <vt:lpwstr/>
  </property>
  <property fmtid="{D5CDD505-2E9C-101B-9397-08002B2CF9AE}" pid="171" name="FSC#SKPRECONFIGSK@10.2600:zaznam_vnut_adresati_4">
    <vt:lpwstr/>
  </property>
  <property fmtid="{D5CDD505-2E9C-101B-9397-08002B2CF9AE}" pid="172" name="FSC#SKPRECONFIGSK@10.2600:zaznam_vnut_adresati_5">
    <vt:lpwstr/>
  </property>
  <property fmtid="{D5CDD505-2E9C-101B-9397-08002B2CF9AE}" pid="173" name="FSC#SKPRECONFIGSK@10.2600:zaznam_vnut_adresati_6">
    <vt:lpwstr/>
  </property>
  <property fmtid="{D5CDD505-2E9C-101B-9397-08002B2CF9AE}" pid="174" name="FSC#SKPRECONFIGSK@10.2600:zaznam_vnut_adresati_7">
    <vt:lpwstr/>
  </property>
  <property fmtid="{D5CDD505-2E9C-101B-9397-08002B2CF9AE}" pid="175" name="FSC#SKPRECONFIGSK@10.2600:zaznam_vnut_adresati_8">
    <vt:lpwstr/>
  </property>
  <property fmtid="{D5CDD505-2E9C-101B-9397-08002B2CF9AE}" pid="176" name="FSC#SKPRECONFIGSK@10.2600:zaznam_vnut_adresati_9">
    <vt:lpwstr/>
  </property>
  <property fmtid="{D5CDD505-2E9C-101B-9397-08002B2CF9AE}" pid="177" name="FSC#SKPRECONFIGSK@10.2600:zaznam_vnut_adresati_10">
    <vt:lpwstr/>
  </property>
  <property fmtid="{D5CDD505-2E9C-101B-9397-08002B2CF9AE}" pid="178" name="FSC#SKPRECONFIGSK@10.2600:zaznam_vnut_adresati_11">
    <vt:lpwstr/>
  </property>
  <property fmtid="{D5CDD505-2E9C-101B-9397-08002B2CF9AE}" pid="179" name="FSC#SKPRECONFIGSK@10.2600:zaznam_vnut_adresati_12">
    <vt:lpwstr/>
  </property>
  <property fmtid="{D5CDD505-2E9C-101B-9397-08002B2CF9AE}" pid="180" name="FSC#SKPRECONFIGSK@10.2600:zaznam_vnut_adresati_13">
    <vt:lpwstr/>
  </property>
  <property fmtid="{D5CDD505-2E9C-101B-9397-08002B2CF9AE}" pid="181" name="FSC#SKPRECONFIGSK@10.2600:zaznam_vnut_adresati_14">
    <vt:lpwstr/>
  </property>
  <property fmtid="{D5CDD505-2E9C-101B-9397-08002B2CF9AE}" pid="182" name="FSC#SKPRECONFIGSK@10.2600:zaznam_vnut_adresati_15">
    <vt:lpwstr/>
  </property>
  <property fmtid="{D5CDD505-2E9C-101B-9397-08002B2CF9AE}" pid="183" name="FSC#SKPRECONFIGSK@10.2600:zaznam_vnut_adresati_16">
    <vt:lpwstr/>
  </property>
  <property fmtid="{D5CDD505-2E9C-101B-9397-08002B2CF9AE}" pid="184" name="FSC#SKPRECONFIGSK@10.2600:zaznam_vnut_adresati_17">
    <vt:lpwstr/>
  </property>
  <property fmtid="{D5CDD505-2E9C-101B-9397-08002B2CF9AE}" pid="185" name="FSC#SKPRECONFIGSK@10.2600:zaznam_vnut_adresati_18">
    <vt:lpwstr/>
  </property>
  <property fmtid="{D5CDD505-2E9C-101B-9397-08002B2CF9AE}" pid="186" name="FSC#SKPRECONFIGSK@10.2600:zaznam_vnut_adresati_19">
    <vt:lpwstr/>
  </property>
  <property fmtid="{D5CDD505-2E9C-101B-9397-08002B2CF9AE}" pid="187" name="FSC#SKPRECONFIGSK@10.2600:zaznam_vnut_adresati_20">
    <vt:lpwstr/>
  </property>
  <property fmtid="{D5CDD505-2E9C-101B-9397-08002B2CF9AE}" pid="188" name="FSC#SKPRECONFIGSK@10.2600:zaznam_vnut_adresati_21">
    <vt:lpwstr/>
  </property>
  <property fmtid="{D5CDD505-2E9C-101B-9397-08002B2CF9AE}" pid="189" name="FSC#SKPRECONFIGSK@10.2600:zaznam_vnut_adresati_22">
    <vt:lpwstr/>
  </property>
  <property fmtid="{D5CDD505-2E9C-101B-9397-08002B2CF9AE}" pid="190" name="FSC#SKPRECONFIGSK@10.2600:zaznam_vnut_adresati_23">
    <vt:lpwstr/>
  </property>
  <property fmtid="{D5CDD505-2E9C-101B-9397-08002B2CF9AE}" pid="191" name="FSC#SKPRECONFIGSK@10.2600:zaznam_vnut_adresati_24">
    <vt:lpwstr/>
  </property>
  <property fmtid="{D5CDD505-2E9C-101B-9397-08002B2CF9AE}" pid="192" name="FSC#SKPRECONFIGSK@10.2600:zaznam_vnut_adresati_25">
    <vt:lpwstr/>
  </property>
  <property fmtid="{D5CDD505-2E9C-101B-9397-08002B2CF9AE}" pid="193" name="FSC#SKPRECONFIGSK@10.2600:zaznam_vnut_adresati_26">
    <vt:lpwstr/>
  </property>
  <property fmtid="{D5CDD505-2E9C-101B-9397-08002B2CF9AE}" pid="194" name="FSC#SKPRECONFIGSK@10.2600:zaznam_vnut_adresati_27">
    <vt:lpwstr/>
  </property>
  <property fmtid="{D5CDD505-2E9C-101B-9397-08002B2CF9AE}" pid="195" name="FSC#SKPRECONFIGSK@10.2600:zaznam_vnut_adresati_28">
    <vt:lpwstr/>
  </property>
  <property fmtid="{D5CDD505-2E9C-101B-9397-08002B2CF9AE}" pid="196" name="FSC#SKPRECONFIGSK@10.2600:zaznam_vnut_adresati_29">
    <vt:lpwstr/>
  </property>
  <property fmtid="{D5CDD505-2E9C-101B-9397-08002B2CF9AE}" pid="197" name="FSC#SKPRECONFIGSK@10.2600:zaznam_vnut_adresati_30">
    <vt:lpwstr/>
  </property>
  <property fmtid="{D5CDD505-2E9C-101B-9397-08002B2CF9AE}" pid="198" name="FSC#SKPRECONFIGSK@10.2600:zaznam_vnut_adresati_31">
    <vt:lpwstr/>
  </property>
  <property fmtid="{D5CDD505-2E9C-101B-9397-08002B2CF9AE}" pid="199" name="FSC#SKPRECONFIGSK@10.2600:zaznam_vnut_adresati_32">
    <vt:lpwstr/>
  </property>
  <property fmtid="{D5CDD505-2E9C-101B-9397-08002B2CF9AE}" pid="200" name="FSC#SKPRECONFIGSK@10.2600:zaznam_vnut_adresati_33">
    <vt:lpwstr/>
  </property>
  <property fmtid="{D5CDD505-2E9C-101B-9397-08002B2CF9AE}" pid="201" name="FSC#SKPRECONFIGSK@10.2600:zaznam_vnut_adresati_34">
    <vt:lpwstr/>
  </property>
  <property fmtid="{D5CDD505-2E9C-101B-9397-08002B2CF9AE}" pid="202" name="FSC#SKPRECONFIGSK@10.2600:zaznam_vnut_adresati_35">
    <vt:lpwstr/>
  </property>
  <property fmtid="{D5CDD505-2E9C-101B-9397-08002B2CF9AE}" pid="203" name="FSC#SKPRECONFIGSK@10.2600:zaznam_vnut_adresati_36">
    <vt:lpwstr/>
  </property>
  <property fmtid="{D5CDD505-2E9C-101B-9397-08002B2CF9AE}" pid="204" name="FSC#SKPRECONFIGSK@10.2600:zaznam_vnut_adresati_37">
    <vt:lpwstr/>
  </property>
  <property fmtid="{D5CDD505-2E9C-101B-9397-08002B2CF9AE}" pid="205" name="FSC#SKPRECONFIGSK@10.2600:zaznam_vnut_adresati_38">
    <vt:lpwstr/>
  </property>
  <property fmtid="{D5CDD505-2E9C-101B-9397-08002B2CF9AE}" pid="206" name="FSC#SKPRECONFIGSK@10.2600:zaznam_vnut_adresati_39">
    <vt:lpwstr/>
  </property>
  <property fmtid="{D5CDD505-2E9C-101B-9397-08002B2CF9AE}" pid="207" name="FSC#SKPRECONFIGSK@10.2600:zaznam_vnut_adresati_40">
    <vt:lpwstr/>
  </property>
  <property fmtid="{D5CDD505-2E9C-101B-9397-08002B2CF9AE}" pid="208" name="FSC#SKPRECONFIGSK@10.2600:zaznam_vnut_adresati_41">
    <vt:lpwstr/>
  </property>
  <property fmtid="{D5CDD505-2E9C-101B-9397-08002B2CF9AE}" pid="209" name="FSC#SKPRECONFIGSK@10.2600:zaznam_vnut_adresati_42">
    <vt:lpwstr/>
  </property>
  <property fmtid="{D5CDD505-2E9C-101B-9397-08002B2CF9AE}" pid="210" name="FSC#SKPRECONFIGSK@10.2600:zaznam_vnut_adresati_43">
    <vt:lpwstr/>
  </property>
  <property fmtid="{D5CDD505-2E9C-101B-9397-08002B2CF9AE}" pid="211" name="FSC#SKPRECONFIGSK@10.2600:zaznam_vnut_adresati_44">
    <vt:lpwstr/>
  </property>
  <property fmtid="{D5CDD505-2E9C-101B-9397-08002B2CF9AE}" pid="212" name="FSC#SKPRECONFIGSK@10.2600:zaznam_vnut_adresati_45">
    <vt:lpwstr/>
  </property>
  <property fmtid="{D5CDD505-2E9C-101B-9397-08002B2CF9AE}" pid="213" name="FSC#SKPRECONFIGSK@10.2600:zaznam_vnut_adresati_46">
    <vt:lpwstr/>
  </property>
  <property fmtid="{D5CDD505-2E9C-101B-9397-08002B2CF9AE}" pid="214" name="FSC#SKPRECONFIGSK@10.2600:zaznam_vnut_adresati_47">
    <vt:lpwstr/>
  </property>
  <property fmtid="{D5CDD505-2E9C-101B-9397-08002B2CF9AE}" pid="215" name="FSC#SKPRECONFIGSK@10.2600:zaznam_vnut_adresati_48">
    <vt:lpwstr/>
  </property>
  <property fmtid="{D5CDD505-2E9C-101B-9397-08002B2CF9AE}" pid="216" name="FSC#SKPRECONFIGSK@10.2600:zaznam_vnut_adresati_49">
    <vt:lpwstr/>
  </property>
  <property fmtid="{D5CDD505-2E9C-101B-9397-08002B2CF9AE}" pid="217" name="FSC#SKPRECONFIGSK@10.2600:zaznam_vnut_adresati_50">
    <vt:lpwstr/>
  </property>
  <property fmtid="{D5CDD505-2E9C-101B-9397-08002B2CF9AE}" pid="218" name="FSC#SKPRECONFIGSK@10.2600:zaznam_vnut_adresati_51">
    <vt:lpwstr/>
  </property>
  <property fmtid="{D5CDD505-2E9C-101B-9397-08002B2CF9AE}" pid="219" name="FSC#SKPRECONFIGSK@10.2600:zaznam_vnut_adresati_52">
    <vt:lpwstr/>
  </property>
  <property fmtid="{D5CDD505-2E9C-101B-9397-08002B2CF9AE}" pid="220" name="FSC#SKPRECONFIGSK@10.2600:zaznam_vnut_adresati_53">
    <vt:lpwstr/>
  </property>
  <property fmtid="{D5CDD505-2E9C-101B-9397-08002B2CF9AE}" pid="221" name="FSC#SKPRECONFIGSK@10.2600:zaznam_vnut_adresati_54">
    <vt:lpwstr/>
  </property>
  <property fmtid="{D5CDD505-2E9C-101B-9397-08002B2CF9AE}" pid="222" name="FSC#SKPRECONFIGSK@10.2600:zaznam_vnut_adresati_55">
    <vt:lpwstr/>
  </property>
  <property fmtid="{D5CDD505-2E9C-101B-9397-08002B2CF9AE}" pid="223" name="FSC#SKPRECONFIGSK@10.2600:zaznam_vnut_adresati_56">
    <vt:lpwstr/>
  </property>
  <property fmtid="{D5CDD505-2E9C-101B-9397-08002B2CF9AE}" pid="224" name="FSC#SKPRECONFIGSK@10.2600:zaznam_vnut_adresati_57">
    <vt:lpwstr/>
  </property>
  <property fmtid="{D5CDD505-2E9C-101B-9397-08002B2CF9AE}" pid="225" name="FSC#SKPRECONFIGSK@10.2600:zaznam_vnut_adresati_58">
    <vt:lpwstr/>
  </property>
  <property fmtid="{D5CDD505-2E9C-101B-9397-08002B2CF9AE}" pid="226" name="FSC#SKPRECONFIGSK@10.2600:zaznam_vnut_adresati_59">
    <vt:lpwstr/>
  </property>
  <property fmtid="{D5CDD505-2E9C-101B-9397-08002B2CF9AE}" pid="227" name="FSC#SKPRECONFIGSK@10.2600:zaznam_vnut_adresati_60">
    <vt:lpwstr/>
  </property>
  <property fmtid="{D5CDD505-2E9C-101B-9397-08002B2CF9AE}" pid="228" name="FSC#SKPRECONFIGSK@10.2600:zaznam_vnut_adresati_61">
    <vt:lpwstr/>
  </property>
  <property fmtid="{D5CDD505-2E9C-101B-9397-08002B2CF9AE}" pid="229" name="FSC#SKPRECONFIGSK@10.2600:zaznam_vnut_adresati_62">
    <vt:lpwstr/>
  </property>
  <property fmtid="{D5CDD505-2E9C-101B-9397-08002B2CF9AE}" pid="230" name="FSC#SKPRECONFIGSK@10.2600:zaznam_vnut_adresati_63">
    <vt:lpwstr/>
  </property>
  <property fmtid="{D5CDD505-2E9C-101B-9397-08002B2CF9AE}" pid="231" name="FSC#SKPRECONFIGSK@10.2600:zaznam_vnut_adresati_64">
    <vt:lpwstr/>
  </property>
  <property fmtid="{D5CDD505-2E9C-101B-9397-08002B2CF9AE}" pid="232" name="FSC#SKPRECONFIGSK@10.2600:zaznam_vnut_adresati_65">
    <vt:lpwstr/>
  </property>
  <property fmtid="{D5CDD505-2E9C-101B-9397-08002B2CF9AE}" pid="233" name="FSC#SKPRECONFIGSK@10.2600:zaznam_vnut_adresati_66">
    <vt:lpwstr/>
  </property>
  <property fmtid="{D5CDD505-2E9C-101B-9397-08002B2CF9AE}" pid="234" name="FSC#SKPRECONFIGSK@10.2600:zaznam_vnut_adresati_67">
    <vt:lpwstr/>
  </property>
  <property fmtid="{D5CDD505-2E9C-101B-9397-08002B2CF9AE}" pid="235" name="FSC#SKPRECONFIGSK@10.2600:zaznam_vnut_adresati_68">
    <vt:lpwstr/>
  </property>
  <property fmtid="{D5CDD505-2E9C-101B-9397-08002B2CF9AE}" pid="236" name="FSC#SKPRECONFIGSK@10.2600:zaznam_vnut_adresati_69">
    <vt:lpwstr/>
  </property>
  <property fmtid="{D5CDD505-2E9C-101B-9397-08002B2CF9AE}" pid="237" name="FSC#SKPRECONFIGSK@10.2600:zaznam_vnut_adresati_70">
    <vt:lpwstr/>
  </property>
  <property fmtid="{D5CDD505-2E9C-101B-9397-08002B2CF9AE}" pid="238" name="FSC#SKPRECONFIGSK@10.2600:zaznam_vonk_adresati_1">
    <vt:lpwstr/>
  </property>
  <property fmtid="{D5CDD505-2E9C-101B-9397-08002B2CF9AE}" pid="239" name="FSC#SKPRECONFIGSK@10.2600:zaznam_vonk_adresati_2">
    <vt:lpwstr/>
  </property>
  <property fmtid="{D5CDD505-2E9C-101B-9397-08002B2CF9AE}" pid="240" name="FSC#SKPRECONFIGSK@10.2600:zaznam_vonk_adresati_3">
    <vt:lpwstr/>
  </property>
  <property fmtid="{D5CDD505-2E9C-101B-9397-08002B2CF9AE}" pid="241" name="FSC#SKPRECONFIGSK@10.2600:zaznam_vonk_adresati_4">
    <vt:lpwstr/>
  </property>
  <property fmtid="{D5CDD505-2E9C-101B-9397-08002B2CF9AE}" pid="242" name="FSC#SKPRECONFIGSK@10.2600:zaznam_vonk_adresati_5">
    <vt:lpwstr/>
  </property>
  <property fmtid="{D5CDD505-2E9C-101B-9397-08002B2CF9AE}" pid="243" name="FSC#SKPRECONFIGSK@10.2600:zaznam_vonk_adresati_6">
    <vt:lpwstr/>
  </property>
  <property fmtid="{D5CDD505-2E9C-101B-9397-08002B2CF9AE}" pid="244" name="FSC#SKPRECONFIGSK@10.2600:zaznam_vonk_adresati_7">
    <vt:lpwstr/>
  </property>
  <property fmtid="{D5CDD505-2E9C-101B-9397-08002B2CF9AE}" pid="245" name="FSC#SKPRECONFIGSK@10.2600:zaznam_vonk_adresati_8">
    <vt:lpwstr/>
  </property>
  <property fmtid="{D5CDD505-2E9C-101B-9397-08002B2CF9AE}" pid="246" name="FSC#SKPRECONFIGSK@10.2600:zaznam_vonk_adresati_9">
    <vt:lpwstr/>
  </property>
  <property fmtid="{D5CDD505-2E9C-101B-9397-08002B2CF9AE}" pid="247" name="FSC#SKPRECONFIGSK@10.2600:zaznam_vonk_adresati_10">
    <vt:lpwstr/>
  </property>
  <property fmtid="{D5CDD505-2E9C-101B-9397-08002B2CF9AE}" pid="248" name="FSC#SKPRECONFIGSK@10.2600:zaznam_vonk_adresati_11">
    <vt:lpwstr/>
  </property>
  <property fmtid="{D5CDD505-2E9C-101B-9397-08002B2CF9AE}" pid="249" name="FSC#SKPRECONFIGSK@10.2600:zaznam_vonk_adresati_12">
    <vt:lpwstr/>
  </property>
  <property fmtid="{D5CDD505-2E9C-101B-9397-08002B2CF9AE}" pid="250" name="FSC#SKPRECONFIGSK@10.2600:zaznam_vonk_adresati_13">
    <vt:lpwstr/>
  </property>
  <property fmtid="{D5CDD505-2E9C-101B-9397-08002B2CF9AE}" pid="251" name="FSC#SKPRECONFIGSK@10.2600:zaznam_vonk_adresati_14">
    <vt:lpwstr/>
  </property>
  <property fmtid="{D5CDD505-2E9C-101B-9397-08002B2CF9AE}" pid="252" name="FSC#SKPRECONFIGSK@10.2600:zaznam_vonk_adresati_15">
    <vt:lpwstr/>
  </property>
  <property fmtid="{D5CDD505-2E9C-101B-9397-08002B2CF9AE}" pid="253" name="FSC#SKPRECONFIGSK@10.2600:zaznam_vonk_adresati_16">
    <vt:lpwstr/>
  </property>
  <property fmtid="{D5CDD505-2E9C-101B-9397-08002B2CF9AE}" pid="254" name="FSC#SKPRECONFIGSK@10.2600:zaznam_vonk_adresati_17">
    <vt:lpwstr/>
  </property>
  <property fmtid="{D5CDD505-2E9C-101B-9397-08002B2CF9AE}" pid="255" name="FSC#SKPRECONFIGSK@10.2600:zaznam_vonk_adresati_18">
    <vt:lpwstr/>
  </property>
  <property fmtid="{D5CDD505-2E9C-101B-9397-08002B2CF9AE}" pid="256" name="FSC#SKPRECONFIGSK@10.2600:zaznam_vonk_adresati_19">
    <vt:lpwstr/>
  </property>
  <property fmtid="{D5CDD505-2E9C-101B-9397-08002B2CF9AE}" pid="257" name="FSC#SKPRECONFIGSK@10.2600:zaznam_vonk_adresati_20">
    <vt:lpwstr/>
  </property>
  <property fmtid="{D5CDD505-2E9C-101B-9397-08002B2CF9AE}" pid="258" name="FSC#SKPRECONFIGSK@10.2600:zaznam_vonk_adresati_21">
    <vt:lpwstr/>
  </property>
  <property fmtid="{D5CDD505-2E9C-101B-9397-08002B2CF9AE}" pid="259" name="FSC#SKPRECONFIGSK@10.2600:zaznam_vonk_adresati_22">
    <vt:lpwstr/>
  </property>
  <property fmtid="{D5CDD505-2E9C-101B-9397-08002B2CF9AE}" pid="260" name="FSC#SKPRECONFIGSK@10.2600:zaznam_vonk_adresati_23">
    <vt:lpwstr/>
  </property>
  <property fmtid="{D5CDD505-2E9C-101B-9397-08002B2CF9AE}" pid="261" name="FSC#SKPRECONFIGSK@10.2600:zaznam_vonk_adresati_24">
    <vt:lpwstr/>
  </property>
  <property fmtid="{D5CDD505-2E9C-101B-9397-08002B2CF9AE}" pid="262" name="FSC#SKPRECONFIGSK@10.2600:zaznam_vonk_adresati_25">
    <vt:lpwstr/>
  </property>
  <property fmtid="{D5CDD505-2E9C-101B-9397-08002B2CF9AE}" pid="263" name="FSC#SKPRECONFIGSK@10.2600:zaznam_vonk_adresati_26">
    <vt:lpwstr/>
  </property>
  <property fmtid="{D5CDD505-2E9C-101B-9397-08002B2CF9AE}" pid="264" name="FSC#SKPRECONFIGSK@10.2600:zaznam_vonk_adresati_27">
    <vt:lpwstr/>
  </property>
  <property fmtid="{D5CDD505-2E9C-101B-9397-08002B2CF9AE}" pid="265" name="FSC#SKPRECONFIGSK@10.2600:zaznam_vonk_adresati_28">
    <vt:lpwstr/>
  </property>
  <property fmtid="{D5CDD505-2E9C-101B-9397-08002B2CF9AE}" pid="266" name="FSC#SKPRECONFIGSK@10.2600:zaznam_vonk_adresati_29">
    <vt:lpwstr/>
  </property>
  <property fmtid="{D5CDD505-2E9C-101B-9397-08002B2CF9AE}" pid="267" name="FSC#SKPRECONFIGSK@10.2600:zaznam_vonk_adresati_30">
    <vt:lpwstr/>
  </property>
  <property fmtid="{D5CDD505-2E9C-101B-9397-08002B2CF9AE}" pid="268" name="FSC#SKPRECONFIGSK@10.2600:zaznam_vonk_adresati_31">
    <vt:lpwstr/>
  </property>
  <property fmtid="{D5CDD505-2E9C-101B-9397-08002B2CF9AE}" pid="269" name="FSC#SKPRECONFIGSK@10.2600:zaznam_vonk_adresati_32">
    <vt:lpwstr/>
  </property>
  <property fmtid="{D5CDD505-2E9C-101B-9397-08002B2CF9AE}" pid="270" name="FSC#SKPRECONFIGSK@10.2600:zaznam_vonk_adresati_33">
    <vt:lpwstr/>
  </property>
  <property fmtid="{D5CDD505-2E9C-101B-9397-08002B2CF9AE}" pid="271" name="FSC#SKPRECONFIGSK@10.2600:zaznam_vonk_adresati_34">
    <vt:lpwstr/>
  </property>
  <property fmtid="{D5CDD505-2E9C-101B-9397-08002B2CF9AE}" pid="272" name="FSC#SKPRECONFIGSK@10.2600:zaznam_vonk_adresati_35">
    <vt:lpwstr/>
  </property>
  <property fmtid="{D5CDD505-2E9C-101B-9397-08002B2CF9AE}" pid="273" name="FSC#SKPRECONFIGSK@10.2600:zaznam_jeden_adresat">
    <vt:lpwstr/>
  </property>
  <property fmtid="{D5CDD505-2E9C-101B-9397-08002B2CF9AE}" pid="274" name="FSC#SKPRECONFIGSK@10.2600:a_fileresporg_position">
    <vt:lpwstr/>
  </property>
  <property fmtid="{D5CDD505-2E9C-101B-9397-08002B2CF9AE}" pid="275" name="FSC#SKPRECONFIGSK@10.2600:a_fileresporg_position_OU">
    <vt:lpwstr/>
  </property>
  <property fmtid="{D5CDD505-2E9C-101B-9397-08002B2CF9AE}" pid="276" name="FSC#SKPRECONFIGSK@10.2600:viz_fileresporg_position">
    <vt:lpwstr/>
  </property>
  <property fmtid="{D5CDD505-2E9C-101B-9397-08002B2CF9AE}" pid="277" name="FSC#SKPRECONFIGSK@10.2600:viz_fileresporg_position_OU">
    <vt:lpwstr/>
  </property>
  <property fmtid="{D5CDD505-2E9C-101B-9397-08002B2CF9AE}" pid="278" name="FSC#SKPRECONFIGSK@10.2600:viz_responseto_createdby">
    <vt:lpwstr/>
  </property>
  <property fmtid="{D5CDD505-2E9C-101B-9397-08002B2CF9AE}" pid="279" name="FSC#SKPRECONFIGSK@10.2600:sk_org_fullname">
    <vt:lpwstr>Dopravný úrad</vt:lpwstr>
  </property>
  <property fmtid="{D5CDD505-2E9C-101B-9397-08002B2CF9AE}" pid="280" name="FSC#SKPRECONFIGSK@10.2600:viz_tel_number">
    <vt:lpwstr/>
  </property>
  <property fmtid="{D5CDD505-2E9C-101B-9397-08002B2CF9AE}" pid="281" name="FSC#SKPRECONFIGSK@10.2600:sk_org_shortname">
    <vt:lpwstr/>
  </property>
  <property fmtid="{D5CDD505-2E9C-101B-9397-08002B2CF9AE}" pid="282" name="FSC#SKPRECONFIGSK@10.2600:sk_org_street">
    <vt:lpwstr>Letisko M. R. Štefánika</vt:lpwstr>
  </property>
  <property fmtid="{D5CDD505-2E9C-101B-9397-08002B2CF9AE}" pid="283" name="FSC#SKPRECONFIGSK@10.2600:sk_org_zip">
    <vt:lpwstr>823 05</vt:lpwstr>
  </property>
  <property fmtid="{D5CDD505-2E9C-101B-9397-08002B2CF9AE}" pid="284" name="FSC#SKPRECONFIGSK@10.2600:sk_org_city">
    <vt:lpwstr>Bratislava</vt:lpwstr>
  </property>
  <property fmtid="{D5CDD505-2E9C-101B-9397-08002B2CF9AE}" pid="285" name="FSC#SKPRECONFIGSK@10.2600:sk_org_state">
    <vt:lpwstr/>
  </property>
  <property fmtid="{D5CDD505-2E9C-101B-9397-08002B2CF9AE}" pid="286" name="FSC#SKPRECONFIGSK@10.2600:sk_org_dic">
    <vt:lpwstr/>
  </property>
  <property fmtid="{D5CDD505-2E9C-101B-9397-08002B2CF9AE}" pid="287" name="FSC#SKPRECONFIGSK@10.2600:sk_org_ico">
    <vt:lpwstr/>
  </property>
  <property fmtid="{D5CDD505-2E9C-101B-9397-08002B2CF9AE}" pid="288" name="FSC#SKPRECONFIGSK@10.2600:sk_org_email">
    <vt:lpwstr/>
  </property>
  <property fmtid="{D5CDD505-2E9C-101B-9397-08002B2CF9AE}" pid="289" name="FSC#SKPRECONFIGSK@10.2600:sk_org_phone">
    <vt:lpwstr/>
  </property>
  <property fmtid="{D5CDD505-2E9C-101B-9397-08002B2CF9AE}" pid="290" name="FSC#SKPRECONFIGSK@10.2600:sk_org_fax">
    <vt:lpwstr/>
  </property>
  <property fmtid="{D5CDD505-2E9C-101B-9397-08002B2CF9AE}" pid="291" name="FSC#SKLUPRECONFIG@103.510:a_fileresponsible_titpriez">
    <vt:lpwstr>Ing. Sobolič</vt:lpwstr>
  </property>
  <property fmtid="{D5CDD505-2E9C-101B-9397-08002B2CF9AE}" pid="292" name="FSC#SKLUPRECONFIG@103.510:viz_fileresporg_divizia">
    <vt:lpwstr/>
  </property>
  <property fmtid="{D5CDD505-2E9C-101B-9397-08002B2CF9AE}" pid="293" name="FSC#SKLUPRECONFIG@103.510:viz_fileresporg_divizia_head">
    <vt:lpwstr/>
  </property>
</Properties>
</file>